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2"/>
  </bookViews>
  <sheets>
    <sheet name="Monitoring" sheetId="1" r:id="rId1"/>
    <sheet name="Absensi Kelas" sheetId="2" r:id="rId2"/>
    <sheet name="Nilai Praktiku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<sst xmlns="http://schemas.openxmlformats.org/spreadsheetml/2006/main" count="527" uniqueCount="142">
  <si>
    <t>MONITORING ASISTEN</t>
  </si>
  <si>
    <t>PROGRAM STUDI TEKNIK INFORMATIKA SEMESTER GENAP 2022/2023</t>
  </si>
  <si>
    <t>UNIVERSITAS ISLAM RIAU</t>
  </si>
  <si>
    <t>Program Studi</t>
  </si>
  <si>
    <t>: Teknik Informatika</t>
  </si>
  <si>
    <t xml:space="preserve">Asisten 1 </t>
  </si>
  <si>
    <t>: Randy Ivando</t>
  </si>
  <si>
    <t>Mata Kuliah</t>
  </si>
  <si>
    <t>: Sistem Operasi</t>
  </si>
  <si>
    <t xml:space="preserve">Asisten 2 </t>
  </si>
  <si>
    <t>: Riski Buulolo</t>
  </si>
  <si>
    <t>Semester/Kelas</t>
  </si>
  <si>
    <t>: 3/E</t>
  </si>
  <si>
    <t>Dosen</t>
  </si>
  <si>
    <t>: Dr Apri Siswanto, S.Kom., M.Kom</t>
  </si>
  <si>
    <t>MONITORING KEHADIRAN KULIAH</t>
  </si>
  <si>
    <t>Minggu</t>
  </si>
  <si>
    <t>Tanggal</t>
  </si>
  <si>
    <t>Topik</t>
  </si>
  <si>
    <t>Materi Praktikum</t>
  </si>
  <si>
    <t>Metode</t>
  </si>
  <si>
    <t>TTD Asisten 1</t>
  </si>
  <si>
    <t>TTD Asisten 2</t>
  </si>
  <si>
    <t>Ttd. Ketua Kelas</t>
  </si>
  <si>
    <t>Mhs Hadir</t>
  </si>
  <si>
    <t>Ke-</t>
  </si>
  <si>
    <t>Daring/Luring *</t>
  </si>
  <si>
    <t>27 Oktober 2025</t>
  </si>
  <si>
    <t>Command Prompt dan Powershell</t>
  </si>
  <si>
    <t>Luring</t>
  </si>
  <si>
    <t>3 November 2025.</t>
  </si>
  <si>
    <t>Pengenalan Linux Kernel Modules</t>
  </si>
  <si>
    <t>10 November 2025.</t>
  </si>
  <si>
    <t>Proses dalam Sistem Operasi</t>
  </si>
  <si>
    <t>17 November 2025.</t>
  </si>
  <si>
    <t>Thread dan Sinkronisasi</t>
  </si>
  <si>
    <t>24 November 2025.</t>
  </si>
  <si>
    <t>Penjadwalan dalam Sistem Operasi</t>
  </si>
  <si>
    <t>1 Desember 2025</t>
  </si>
  <si>
    <t>Deadlock dalam Sistem Operasi</t>
  </si>
  <si>
    <t>8 Desember 2025</t>
  </si>
  <si>
    <t>Main Memori dalam Sistem Operasi</t>
  </si>
  <si>
    <t>27 Janunari 2025</t>
  </si>
  <si>
    <t>UJIAN PRAKTIKUM</t>
  </si>
  <si>
    <t>Mengetahui,</t>
  </si>
  <si>
    <t>Pekanbaru, 03 - 02 - 2026</t>
  </si>
  <si>
    <t>Ka. Lab Teknik Informatika</t>
  </si>
  <si>
    <t>Dosen Instruktur</t>
  </si>
  <si>
    <t>YUDHI ARTA, ST., M.Kom</t>
  </si>
  <si>
    <t>Akmar Efendi, S.Kom., M.Kom</t>
  </si>
  <si>
    <t>ABSENSI PRAKTIKUM MAHASISWA</t>
  </si>
  <si>
    <t>PROGRAM STUDI TEKNIK INFORMATIKA SEMESTER GANJIL 2025/2026</t>
  </si>
  <si>
    <t>DAFTAR HADIR MAHASISWA</t>
  </si>
  <si>
    <t>Semester / Kelas</t>
  </si>
  <si>
    <t>NO</t>
  </si>
  <si>
    <t>NPM</t>
  </si>
  <si>
    <t>NAMA</t>
  </si>
  <si>
    <t>Paraf/Mahasiswa/Setiap Kali Tatap Muka</t>
  </si>
  <si>
    <t>Jumlah Kehadiran</t>
  </si>
  <si>
    <t>Keterangan</t>
  </si>
  <si>
    <t>AHMAD ALDO MARATUA</t>
  </si>
  <si>
    <t>Ö</t>
  </si>
  <si>
    <t>i</t>
  </si>
  <si>
    <t>a</t>
  </si>
  <si>
    <t>izin 1x, alpha 1x</t>
  </si>
  <si>
    <t>Hadir</t>
  </si>
  <si>
    <t>ANI ANDINI NASUTION</t>
  </si>
  <si>
    <t>alpha 1x</t>
  </si>
  <si>
    <t>ATALLA RAIVZAQKY AKBAR</t>
  </si>
  <si>
    <t>BIMA NUGROHO</t>
  </si>
  <si>
    <t>alpha 2x</t>
  </si>
  <si>
    <t>CHEVRON SONIE FAHREZY</t>
  </si>
  <si>
    <t>DINO SETIAWAN</t>
  </si>
  <si>
    <t>DWITA HADI</t>
  </si>
  <si>
    <t>FAJAR SETIAWAN</t>
  </si>
  <si>
    <t>izin 1x, alpha 2x</t>
  </si>
  <si>
    <t>FATWA MAULANA S</t>
  </si>
  <si>
    <t>HEBER NEZER SIREGAR</t>
  </si>
  <si>
    <t>izin 1x</t>
  </si>
  <si>
    <t>ILHAM DANI</t>
  </si>
  <si>
    <t>s</t>
  </si>
  <si>
    <t>sakit 1x</t>
  </si>
  <si>
    <t>IMAM TAUFIK</t>
  </si>
  <si>
    <t>sakit 1x, izin 2x</t>
  </si>
  <si>
    <t>IZA NAILATUL FITRI</t>
  </si>
  <si>
    <t>KAHLIL GIBRAN BANGUN</t>
  </si>
  <si>
    <t>M. ADITYA MUKHLISH</t>
  </si>
  <si>
    <t>M. DZAKI HIBATULLAH</t>
  </si>
  <si>
    <t>M.AKBAR PUTRA SANDY</t>
  </si>
  <si>
    <t>MARSYA PUTRA</t>
  </si>
  <si>
    <t>MUHAMMAD ALFARIZI</t>
  </si>
  <si>
    <t>MUHAMMAD FUDHOIL</t>
  </si>
  <si>
    <t>MUHAMMAD IBRIL YAN AZIZ</t>
  </si>
  <si>
    <t>MUHAMMAD NURRAHMAN</t>
  </si>
  <si>
    <t>MUHAMMAD ROSFERHAN</t>
  </si>
  <si>
    <t>NADEA PERMATA SARI NASUTION</t>
  </si>
  <si>
    <t>NAYA ZASKIA</t>
  </si>
  <si>
    <t>NEFIA NOVANDRA</t>
  </si>
  <si>
    <t>OLFIANA ROSANI</t>
  </si>
  <si>
    <t>izin 2x</t>
  </si>
  <si>
    <t>RAFLI PUTRA WAHYUDI</t>
  </si>
  <si>
    <t>RHADIT ALGHANI</t>
  </si>
  <si>
    <t>RIZA HANIFAH AZZAHRA</t>
  </si>
  <si>
    <t>SAMROZZAQ SULTAN MUSAFAATH</t>
  </si>
  <si>
    <t>TITIN RIZKIAH</t>
  </si>
  <si>
    <t>TOMMY HARDI</t>
  </si>
  <si>
    <t>WAHYU ALDI RIYANTO</t>
  </si>
  <si>
    <t>ZIKI FEBRIAN</t>
  </si>
  <si>
    <t>ANDRI KURNIAWAN</t>
  </si>
  <si>
    <t>Dosen Pengampu</t>
  </si>
  <si>
    <t>Dr APRI SISWANTO, S.Kom., M.Kom</t>
  </si>
  <si>
    <t>NILAI AKHIR PRAKTIKUM MATA KULIAH SEMESTER GANJIL TA 2022/2023</t>
  </si>
  <si>
    <t>PROGRAM STUDI TEKNIK INFORMATIKA FAKULTAS TEKNIK</t>
  </si>
  <si>
    <t>SKS</t>
  </si>
  <si>
    <t>=</t>
  </si>
  <si>
    <t>Jumlah Pertemuan</t>
  </si>
  <si>
    <t>Kriteria Penilaian Teori</t>
  </si>
  <si>
    <t>Absensi</t>
  </si>
  <si>
    <t>PERSENTASE DAPAT BERUBAH</t>
  </si>
  <si>
    <t>: : Dr Apri Siswanto, S.Kom., M.Kom</t>
  </si>
  <si>
    <t>Tugas</t>
  </si>
  <si>
    <t>Quiz</t>
  </si>
  <si>
    <t>Project</t>
  </si>
  <si>
    <t>UAS</t>
  </si>
  <si>
    <t>No</t>
  </si>
  <si>
    <t>Bobot Absensi</t>
  </si>
  <si>
    <t>TUGAS PRAKTIKUM</t>
  </si>
  <si>
    <t>Kalkulasi Tugas</t>
  </si>
  <si>
    <t>Kalkulasi Quiz</t>
  </si>
  <si>
    <t>Kalkulasi Project</t>
  </si>
  <si>
    <t>Kalkulasi UAS</t>
  </si>
  <si>
    <t>Nilai akhir</t>
  </si>
  <si>
    <t>Huruf</t>
  </si>
  <si>
    <t>Nilai Kualitattif</t>
  </si>
  <si>
    <t>TUGAS 1</t>
  </si>
  <si>
    <t>TUGAS 2</t>
  </si>
  <si>
    <t>TUGAS 3</t>
  </si>
  <si>
    <t>TUGAS 4</t>
  </si>
  <si>
    <t>TUGAS 5</t>
  </si>
  <si>
    <t>TUGAS 6</t>
  </si>
  <si>
    <t>KUIS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</si>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</sst>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44">
    <font>
      <sz val="11"/>
      <color rgb="FF000000"/>
      <name val="Arial"/>
      <charset val="134"/>
      <scheme val="minor"/>
    </font>
    <font>
      <b/>
      <sz val="14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name val="Arial"/>
      <charset val="134"/>
    </font>
    <font>
      <b/>
      <sz val="11"/>
      <color rgb="FF000000"/>
      <name val="Arial"/>
      <charset val="134"/>
    </font>
    <font>
      <sz val="12"/>
      <color rgb="FF000000"/>
      <name val="Calibri"/>
      <charset val="134"/>
    </font>
    <font>
      <sz val="11"/>
      <color theme="1"/>
      <name val="Arial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  <scheme val="minor"/>
    </font>
    <font>
      <sz val="11"/>
      <color rgb="FF000000"/>
      <name val="Arial"/>
      <charset val="134"/>
      <scheme val="maj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theme="1"/>
      <name val="Symbol"/>
      <charset val="2"/>
    </font>
    <font>
      <sz val="12"/>
      <color theme="1"/>
      <name val="Calibri"/>
      <charset val="2"/>
    </font>
    <font>
      <sz val="12"/>
      <name val="Symbol"/>
      <charset val="2"/>
    </font>
    <font>
      <b/>
      <u/>
      <sz val="14"/>
      <color rgb="FF000000"/>
      <name val="Calibri"/>
      <charset val="134"/>
    </font>
    <font>
      <sz val="12"/>
      <color theme="1"/>
      <name val="Arial"/>
      <charset val="134"/>
    </font>
    <font>
      <b/>
      <sz val="11"/>
      <color rgb="FF000000"/>
      <name val="Cambria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AD46"/>
        <bgColor rgb="FF70AD46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0" borderId="18" applyNumberFormat="0" applyAlignment="0" applyProtection="0">
      <alignment vertical="center"/>
    </xf>
    <xf numFmtId="0" fontId="34" fillId="11" borderId="19" applyNumberFormat="0" applyAlignment="0" applyProtection="0">
      <alignment vertical="center"/>
    </xf>
    <xf numFmtId="0" fontId="35" fillId="11" borderId="18" applyNumberFormat="0" applyAlignment="0" applyProtection="0">
      <alignment vertical="center"/>
    </xf>
    <xf numFmtId="0" fontId="36" fillId="12" borderId="20" applyNumberFormat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7" fillId="0" borderId="0"/>
  </cellStyleXfs>
  <cellXfs count="118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178" fontId="6" fillId="6" borderId="5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6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178" fontId="6" fillId="8" borderId="5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7" borderId="7" xfId="0" applyFont="1" applyFill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8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4" fillId="0" borderId="9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9" fontId="3" fillId="3" borderId="4" xfId="0" applyNumberFormat="1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3" fillId="3" borderId="5" xfId="0" applyNumberFormat="1" applyFont="1" applyFill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3" fillId="5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8" fontId="14" fillId="6" borderId="5" xfId="0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4" borderId="0" xfId="0" applyFont="1" applyFill="1"/>
    <xf numFmtId="0" fontId="16" fillId="0" borderId="0" xfId="0" applyFont="1"/>
    <xf numFmtId="0" fontId="15" fillId="0" borderId="0" xfId="0" applyFont="1" applyAlignment="1">
      <alignment horizontal="left" vertical="center"/>
    </xf>
    <xf numFmtId="0" fontId="15" fillId="4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6" fillId="4" borderId="0" xfId="0" applyFont="1" applyFill="1" applyAlignment="1">
      <alignment horizontal="left"/>
    </xf>
    <xf numFmtId="0" fontId="6" fillId="0" borderId="0" xfId="0" applyFont="1"/>
    <xf numFmtId="0" fontId="17" fillId="5" borderId="1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3" fillId="0" borderId="4" xfId="0" applyFont="1" applyBorder="1"/>
    <xf numFmtId="0" fontId="13" fillId="0" borderId="0" xfId="0" applyFont="1"/>
    <xf numFmtId="0" fontId="13" fillId="0" borderId="0" xfId="0" applyFont="1" applyAlignment="1">
      <alignment vertical="center"/>
    </xf>
    <xf numFmtId="0" fontId="22" fillId="0" borderId="0" xfId="0" applyFont="1"/>
    <xf numFmtId="0" fontId="2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58" fontId="17" fillId="5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19" fillId="0" borderId="14" xfId="0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58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5" fontId="11" fillId="0" borderId="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4" borderId="0" xfId="0" applyFont="1" applyFill="1"/>
    <xf numFmtId="0" fontId="6" fillId="4" borderId="5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3" fillId="3" borderId="5" xfId="0" applyFont="1" applyFill="1" applyBorder="1" applyAlignment="1" quotePrefix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0</xdr:row>
      <xdr:rowOff>114300</xdr:rowOff>
    </xdr:from>
    <xdr:ext cx="676275" cy="805815"/>
    <xdr:pic>
      <xdr:nvPicPr>
        <xdr:cNvPr id="2" name="image4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750820" y="114300"/>
          <a:ext cx="676275" cy="80581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306705</xdr:colOff>
      <xdr:row>13</xdr:row>
      <xdr:rowOff>191770</xdr:rowOff>
    </xdr:from>
    <xdr:to>
      <xdr:col>7</xdr:col>
      <xdr:colOff>858520</xdr:colOff>
      <xdr:row>15</xdr:row>
      <xdr:rowOff>37465</xdr:rowOff>
    </xdr:to>
    <xdr:pic>
      <xdr:nvPicPr>
        <xdr:cNvPr id="3" name="Picture 2" descr="ttd sepri no b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90485" y="2747645"/>
          <a:ext cx="551815" cy="566420"/>
        </a:xfrm>
        <a:prstGeom prst="rect">
          <a:avLst/>
        </a:prstGeom>
      </xdr:spPr>
    </xdr:pic>
    <xdr:clientData/>
  </xdr:twoCellAnchor>
  <xdr:twoCellAnchor editAs="oneCell">
    <xdr:from>
      <xdr:col>7</xdr:col>
      <xdr:colOff>354330</xdr:colOff>
      <xdr:row>14</xdr:row>
      <xdr:rowOff>510540</xdr:rowOff>
    </xdr:from>
    <xdr:to>
      <xdr:col>7</xdr:col>
      <xdr:colOff>906145</xdr:colOff>
      <xdr:row>15</xdr:row>
      <xdr:rowOff>553085</xdr:rowOff>
    </xdr:to>
    <xdr:pic>
      <xdr:nvPicPr>
        <xdr:cNvPr id="4" name="Picture 3" descr="ttd sepri no b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38110" y="3263265"/>
          <a:ext cx="551815" cy="566420"/>
        </a:xfrm>
        <a:prstGeom prst="rect">
          <a:avLst/>
        </a:prstGeom>
      </xdr:spPr>
    </xdr:pic>
    <xdr:clientData/>
  </xdr:twoCellAnchor>
  <xdr:twoCellAnchor editAs="oneCell">
    <xdr:from>
      <xdr:col>7</xdr:col>
      <xdr:colOff>378460</xdr:colOff>
      <xdr:row>15</xdr:row>
      <xdr:rowOff>565785</xdr:rowOff>
    </xdr:from>
    <xdr:to>
      <xdr:col>7</xdr:col>
      <xdr:colOff>930275</xdr:colOff>
      <xdr:row>16</xdr:row>
      <xdr:rowOff>560705</xdr:rowOff>
    </xdr:to>
    <xdr:pic>
      <xdr:nvPicPr>
        <xdr:cNvPr id="5" name="Picture 4" descr="ttd sepri no b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62240" y="3842385"/>
          <a:ext cx="551815" cy="566420"/>
        </a:xfrm>
        <a:prstGeom prst="rect">
          <a:avLst/>
        </a:prstGeom>
      </xdr:spPr>
    </xdr:pic>
    <xdr:clientData/>
  </xdr:twoCellAnchor>
  <xdr:twoCellAnchor editAs="oneCell">
    <xdr:from>
      <xdr:col>7</xdr:col>
      <xdr:colOff>398780</xdr:colOff>
      <xdr:row>17</xdr:row>
      <xdr:rowOff>26035</xdr:rowOff>
    </xdr:from>
    <xdr:to>
      <xdr:col>7</xdr:col>
      <xdr:colOff>950595</xdr:colOff>
      <xdr:row>17</xdr:row>
      <xdr:rowOff>592455</xdr:rowOff>
    </xdr:to>
    <xdr:pic>
      <xdr:nvPicPr>
        <xdr:cNvPr id="6" name="Picture 5" descr="ttd sepri no b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82560" y="4464685"/>
          <a:ext cx="551815" cy="566420"/>
        </a:xfrm>
        <a:prstGeom prst="rect">
          <a:avLst/>
        </a:prstGeom>
      </xdr:spPr>
    </xdr:pic>
    <xdr:clientData/>
  </xdr:twoCellAnchor>
  <xdr:twoCellAnchor editAs="oneCell">
    <xdr:from>
      <xdr:col>7</xdr:col>
      <xdr:colOff>379095</xdr:colOff>
      <xdr:row>18</xdr:row>
      <xdr:rowOff>66040</xdr:rowOff>
    </xdr:from>
    <xdr:to>
      <xdr:col>7</xdr:col>
      <xdr:colOff>930910</xdr:colOff>
      <xdr:row>18</xdr:row>
      <xdr:rowOff>632460</xdr:rowOff>
    </xdr:to>
    <xdr:pic>
      <xdr:nvPicPr>
        <xdr:cNvPr id="7" name="Picture 6" descr="ttd sepri no b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62875" y="5142865"/>
          <a:ext cx="551815" cy="566420"/>
        </a:xfrm>
        <a:prstGeom prst="rect">
          <a:avLst/>
        </a:prstGeom>
      </xdr:spPr>
    </xdr:pic>
    <xdr:clientData/>
  </xdr:twoCellAnchor>
  <xdr:twoCellAnchor editAs="oneCell">
    <xdr:from>
      <xdr:col>7</xdr:col>
      <xdr:colOff>382905</xdr:colOff>
      <xdr:row>19</xdr:row>
      <xdr:rowOff>10795</xdr:rowOff>
    </xdr:from>
    <xdr:to>
      <xdr:col>7</xdr:col>
      <xdr:colOff>934720</xdr:colOff>
      <xdr:row>20</xdr:row>
      <xdr:rowOff>24765</xdr:rowOff>
    </xdr:to>
    <xdr:pic>
      <xdr:nvPicPr>
        <xdr:cNvPr id="8" name="Picture 7" descr="ttd sepri no b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66685" y="5782945"/>
          <a:ext cx="551815" cy="566420"/>
        </a:xfrm>
        <a:prstGeom prst="rect">
          <a:avLst/>
        </a:prstGeom>
      </xdr:spPr>
    </xdr:pic>
    <xdr:clientData/>
  </xdr:twoCellAnchor>
  <xdr:twoCellAnchor editAs="oneCell">
    <xdr:from>
      <xdr:col>7</xdr:col>
      <xdr:colOff>407035</xdr:colOff>
      <xdr:row>19</xdr:row>
      <xdr:rowOff>546100</xdr:rowOff>
    </xdr:from>
    <xdr:to>
      <xdr:col>7</xdr:col>
      <xdr:colOff>958850</xdr:colOff>
      <xdr:row>21</xdr:row>
      <xdr:rowOff>26670</xdr:rowOff>
    </xdr:to>
    <xdr:pic>
      <xdr:nvPicPr>
        <xdr:cNvPr id="9" name="Picture 8" descr="ttd sepri no b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90815" y="6318250"/>
          <a:ext cx="551815" cy="566420"/>
        </a:xfrm>
        <a:prstGeom prst="rect">
          <a:avLst/>
        </a:prstGeom>
      </xdr:spPr>
    </xdr:pic>
    <xdr:clientData/>
  </xdr:twoCellAnchor>
  <xdr:twoCellAnchor editAs="oneCell">
    <xdr:from>
      <xdr:col>7</xdr:col>
      <xdr:colOff>414655</xdr:colOff>
      <xdr:row>21</xdr:row>
      <xdr:rowOff>36830</xdr:rowOff>
    </xdr:from>
    <xdr:to>
      <xdr:col>7</xdr:col>
      <xdr:colOff>966470</xdr:colOff>
      <xdr:row>21</xdr:row>
      <xdr:rowOff>603250</xdr:rowOff>
    </xdr:to>
    <xdr:pic>
      <xdr:nvPicPr>
        <xdr:cNvPr id="10" name="Picture 9" descr="ttd sepri no b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98435" y="6894830"/>
          <a:ext cx="551815" cy="566420"/>
        </a:xfrm>
        <a:prstGeom prst="rect">
          <a:avLst/>
        </a:prstGeom>
      </xdr:spPr>
    </xdr:pic>
    <xdr:clientData/>
  </xdr:twoCellAnchor>
  <xdr:twoCellAnchor editAs="oneCell">
    <xdr:from>
      <xdr:col>6</xdr:col>
      <xdr:colOff>313150</xdr:colOff>
      <xdr:row>14</xdr:row>
      <xdr:rowOff>52191</xdr:rowOff>
    </xdr:from>
    <xdr:to>
      <xdr:col>6</xdr:col>
      <xdr:colOff>875304</xdr:colOff>
      <xdr:row>14</xdr:row>
      <xdr:rowOff>519381</xdr:rowOff>
    </xdr:to>
    <xdr:pic>
      <xdr:nvPicPr>
        <xdr:cNvPr id="11" name="Picture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38595" y="2804795"/>
          <a:ext cx="561975" cy="466725"/>
        </a:xfrm>
        <a:prstGeom prst="rect">
          <a:avLst/>
        </a:prstGeom>
      </xdr:spPr>
    </xdr:pic>
    <xdr:clientData/>
  </xdr:twoCellAnchor>
  <xdr:twoCellAnchor editAs="oneCell">
    <xdr:from>
      <xdr:col>6</xdr:col>
      <xdr:colOff>329851</xdr:colOff>
      <xdr:row>15</xdr:row>
      <xdr:rowOff>37577</xdr:rowOff>
    </xdr:from>
    <xdr:to>
      <xdr:col>6</xdr:col>
      <xdr:colOff>892005</xdr:colOff>
      <xdr:row>15</xdr:row>
      <xdr:rowOff>504767</xdr:rowOff>
    </xdr:to>
    <xdr:pic>
      <xdr:nvPicPr>
        <xdr:cNvPr id="12" name="Picture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55105" y="3314065"/>
          <a:ext cx="561975" cy="466725"/>
        </a:xfrm>
        <a:prstGeom prst="rect">
          <a:avLst/>
        </a:prstGeom>
      </xdr:spPr>
    </xdr:pic>
    <xdr:clientData/>
  </xdr:twoCellAnchor>
  <xdr:twoCellAnchor editAs="oneCell">
    <xdr:from>
      <xdr:col>6</xdr:col>
      <xdr:colOff>283922</xdr:colOff>
      <xdr:row>16</xdr:row>
      <xdr:rowOff>64716</xdr:rowOff>
    </xdr:from>
    <xdr:to>
      <xdr:col>6</xdr:col>
      <xdr:colOff>846076</xdr:colOff>
      <xdr:row>16</xdr:row>
      <xdr:rowOff>531906</xdr:rowOff>
    </xdr:to>
    <xdr:pic>
      <xdr:nvPicPr>
        <xdr:cNvPr id="13" name="Picture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09385" y="3912235"/>
          <a:ext cx="561975" cy="467360"/>
        </a:xfrm>
        <a:prstGeom prst="rect">
          <a:avLst/>
        </a:prstGeom>
      </xdr:spPr>
    </xdr:pic>
    <xdr:clientData/>
  </xdr:twoCellAnchor>
  <xdr:twoCellAnchor editAs="oneCell">
    <xdr:from>
      <xdr:col>6</xdr:col>
      <xdr:colOff>311516</xdr:colOff>
      <xdr:row>17</xdr:row>
      <xdr:rowOff>87497</xdr:rowOff>
    </xdr:from>
    <xdr:to>
      <xdr:col>6</xdr:col>
      <xdr:colOff>873670</xdr:colOff>
      <xdr:row>17</xdr:row>
      <xdr:rowOff>554687</xdr:rowOff>
    </xdr:to>
    <xdr:pic>
      <xdr:nvPicPr>
        <xdr:cNvPr id="14" name="Picture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36690" y="4525645"/>
          <a:ext cx="561975" cy="467360"/>
        </a:xfrm>
        <a:prstGeom prst="rect">
          <a:avLst/>
        </a:prstGeom>
      </xdr:spPr>
    </xdr:pic>
    <xdr:clientData/>
  </xdr:twoCellAnchor>
  <xdr:twoCellAnchor editAs="oneCell">
    <xdr:from>
      <xdr:col>6</xdr:col>
      <xdr:colOff>319231</xdr:colOff>
      <xdr:row>18</xdr:row>
      <xdr:rowOff>123530</xdr:rowOff>
    </xdr:from>
    <xdr:to>
      <xdr:col>6</xdr:col>
      <xdr:colOff>881385</xdr:colOff>
      <xdr:row>18</xdr:row>
      <xdr:rowOff>590720</xdr:rowOff>
    </xdr:to>
    <xdr:pic>
      <xdr:nvPicPr>
        <xdr:cNvPr id="15" name="Picture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44310" y="5200015"/>
          <a:ext cx="562610" cy="467360"/>
        </a:xfrm>
        <a:prstGeom prst="rect">
          <a:avLst/>
        </a:prstGeom>
      </xdr:spPr>
    </xdr:pic>
    <xdr:clientData/>
  </xdr:twoCellAnchor>
  <xdr:twoCellAnchor editAs="oneCell">
    <xdr:from>
      <xdr:col>6</xdr:col>
      <xdr:colOff>326946</xdr:colOff>
      <xdr:row>19</xdr:row>
      <xdr:rowOff>93303</xdr:rowOff>
    </xdr:from>
    <xdr:to>
      <xdr:col>6</xdr:col>
      <xdr:colOff>889100</xdr:colOff>
      <xdr:row>20</xdr:row>
      <xdr:rowOff>10528</xdr:rowOff>
    </xdr:to>
    <xdr:pic>
      <xdr:nvPicPr>
        <xdr:cNvPr id="16" name="Picture 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51930" y="5864860"/>
          <a:ext cx="562610" cy="469900"/>
        </a:xfrm>
        <a:prstGeom prst="rect">
          <a:avLst/>
        </a:prstGeom>
      </xdr:spPr>
    </xdr:pic>
    <xdr:clientData/>
  </xdr:twoCellAnchor>
  <xdr:twoCellAnchor editAs="oneCell">
    <xdr:from>
      <xdr:col>6</xdr:col>
      <xdr:colOff>308156</xdr:colOff>
      <xdr:row>20</xdr:row>
      <xdr:rowOff>10067</xdr:rowOff>
    </xdr:from>
    <xdr:to>
      <xdr:col>6</xdr:col>
      <xdr:colOff>870310</xdr:colOff>
      <xdr:row>20</xdr:row>
      <xdr:rowOff>477257</xdr:rowOff>
    </xdr:to>
    <xdr:pic>
      <xdr:nvPicPr>
        <xdr:cNvPr id="17" name="Picture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33515" y="6334125"/>
          <a:ext cx="561975" cy="467360"/>
        </a:xfrm>
        <a:prstGeom prst="rect">
          <a:avLst/>
        </a:prstGeom>
      </xdr:spPr>
    </xdr:pic>
    <xdr:clientData/>
  </xdr:twoCellAnchor>
  <xdr:twoCellAnchor editAs="oneCell">
    <xdr:from>
      <xdr:col>6</xdr:col>
      <xdr:colOff>309245</xdr:colOff>
      <xdr:row>21</xdr:row>
      <xdr:rowOff>65979</xdr:rowOff>
    </xdr:from>
    <xdr:to>
      <xdr:col>6</xdr:col>
      <xdr:colOff>871399</xdr:colOff>
      <xdr:row>21</xdr:row>
      <xdr:rowOff>533169</xdr:rowOff>
    </xdr:to>
    <xdr:pic>
      <xdr:nvPicPr>
        <xdr:cNvPr id="18" name="Picture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34785" y="6923405"/>
          <a:ext cx="561975" cy="467360"/>
        </a:xfrm>
        <a:prstGeom prst="rect">
          <a:avLst/>
        </a:prstGeom>
      </xdr:spPr>
    </xdr:pic>
    <xdr:clientData/>
  </xdr:twoCellAnchor>
  <xdr:twoCellAnchor editAs="oneCell">
    <xdr:from>
      <xdr:col>8</xdr:col>
      <xdr:colOff>220718</xdr:colOff>
      <xdr:row>14</xdr:row>
      <xdr:rowOff>31531</xdr:rowOff>
    </xdr:from>
    <xdr:to>
      <xdr:col>8</xdr:col>
      <xdr:colOff>1035270</xdr:colOff>
      <xdr:row>15</xdr:row>
      <xdr:rowOff>309</xdr:rowOff>
    </xdr:to>
    <xdr:pic>
      <xdr:nvPicPr>
        <xdr:cNvPr id="19" name="Picture 18"/>
        <xdr:cNvPicPr>
          <a:picLocks noChangeAspect="1"/>
        </xdr:cNvPicPr>
      </xdr:nvPicPr>
      <xdr:blipFill>
        <a:blip r:embed="rId4"/>
        <a:srcRect l="11069" t="7955" r="13649" b="14832"/>
        <a:stretch>
          <a:fillRect/>
        </a:stretch>
      </xdr:blipFill>
      <xdr:spPr>
        <a:xfrm>
          <a:off x="8861425" y="2783840"/>
          <a:ext cx="814705" cy="492760"/>
        </a:xfrm>
        <a:prstGeom prst="rect">
          <a:avLst/>
        </a:prstGeom>
      </xdr:spPr>
    </xdr:pic>
    <xdr:clientData/>
  </xdr:twoCellAnchor>
  <xdr:twoCellAnchor editAs="oneCell">
    <xdr:from>
      <xdr:col>8</xdr:col>
      <xdr:colOff>199698</xdr:colOff>
      <xdr:row>15</xdr:row>
      <xdr:rowOff>36786</xdr:rowOff>
    </xdr:from>
    <xdr:to>
      <xdr:col>8</xdr:col>
      <xdr:colOff>1014250</xdr:colOff>
      <xdr:row>15</xdr:row>
      <xdr:rowOff>525517</xdr:rowOff>
    </xdr:to>
    <xdr:pic>
      <xdr:nvPicPr>
        <xdr:cNvPr id="20" name="Picture 19"/>
        <xdr:cNvPicPr>
          <a:picLocks noChangeAspect="1"/>
        </xdr:cNvPicPr>
      </xdr:nvPicPr>
      <xdr:blipFill>
        <a:blip r:embed="rId4"/>
        <a:srcRect l="11069" t="7955" r="13649" b="14832"/>
        <a:stretch>
          <a:fillRect/>
        </a:stretch>
      </xdr:blipFill>
      <xdr:spPr>
        <a:xfrm>
          <a:off x="8840470" y="3312795"/>
          <a:ext cx="814705" cy="488950"/>
        </a:xfrm>
        <a:prstGeom prst="rect">
          <a:avLst/>
        </a:prstGeom>
      </xdr:spPr>
    </xdr:pic>
    <xdr:clientData/>
  </xdr:twoCellAnchor>
  <xdr:twoCellAnchor editAs="oneCell">
    <xdr:from>
      <xdr:col>8</xdr:col>
      <xdr:colOff>178678</xdr:colOff>
      <xdr:row>16</xdr:row>
      <xdr:rowOff>57806</xdr:rowOff>
    </xdr:from>
    <xdr:to>
      <xdr:col>8</xdr:col>
      <xdr:colOff>993230</xdr:colOff>
      <xdr:row>16</xdr:row>
      <xdr:rowOff>546537</xdr:rowOff>
    </xdr:to>
    <xdr:pic>
      <xdr:nvPicPr>
        <xdr:cNvPr id="21" name="Picture 20"/>
        <xdr:cNvPicPr>
          <a:picLocks noChangeAspect="1"/>
        </xdr:cNvPicPr>
      </xdr:nvPicPr>
      <xdr:blipFill>
        <a:blip r:embed="rId4"/>
        <a:srcRect l="11069" t="7955" r="13649" b="14832"/>
        <a:stretch>
          <a:fillRect/>
        </a:stretch>
      </xdr:blipFill>
      <xdr:spPr>
        <a:xfrm>
          <a:off x="8819515" y="3905885"/>
          <a:ext cx="814705" cy="488315"/>
        </a:xfrm>
        <a:prstGeom prst="rect">
          <a:avLst/>
        </a:prstGeom>
      </xdr:spPr>
    </xdr:pic>
    <xdr:clientData/>
  </xdr:twoCellAnchor>
  <xdr:twoCellAnchor editAs="oneCell">
    <xdr:from>
      <xdr:col>8</xdr:col>
      <xdr:colOff>157658</xdr:colOff>
      <xdr:row>17</xdr:row>
      <xdr:rowOff>57805</xdr:rowOff>
    </xdr:from>
    <xdr:to>
      <xdr:col>8</xdr:col>
      <xdr:colOff>972210</xdr:colOff>
      <xdr:row>17</xdr:row>
      <xdr:rowOff>546536</xdr:rowOff>
    </xdr:to>
    <xdr:pic>
      <xdr:nvPicPr>
        <xdr:cNvPr id="22" name="Picture 21"/>
        <xdr:cNvPicPr>
          <a:picLocks noChangeAspect="1"/>
        </xdr:cNvPicPr>
      </xdr:nvPicPr>
      <xdr:blipFill>
        <a:blip r:embed="rId4"/>
        <a:srcRect l="11069" t="7955" r="13649" b="14832"/>
        <a:stretch>
          <a:fillRect/>
        </a:stretch>
      </xdr:blipFill>
      <xdr:spPr>
        <a:xfrm>
          <a:off x="8798560" y="4496435"/>
          <a:ext cx="814705" cy="488315"/>
        </a:xfrm>
        <a:prstGeom prst="rect">
          <a:avLst/>
        </a:prstGeom>
      </xdr:spPr>
    </xdr:pic>
    <xdr:clientData/>
  </xdr:twoCellAnchor>
  <xdr:twoCellAnchor editAs="oneCell">
    <xdr:from>
      <xdr:col>8</xdr:col>
      <xdr:colOff>168169</xdr:colOff>
      <xdr:row>18</xdr:row>
      <xdr:rowOff>78826</xdr:rowOff>
    </xdr:from>
    <xdr:to>
      <xdr:col>8</xdr:col>
      <xdr:colOff>982721</xdr:colOff>
      <xdr:row>18</xdr:row>
      <xdr:rowOff>567557</xdr:rowOff>
    </xdr:to>
    <xdr:pic>
      <xdr:nvPicPr>
        <xdr:cNvPr id="23" name="Picture 22"/>
        <xdr:cNvPicPr>
          <a:picLocks noChangeAspect="1"/>
        </xdr:cNvPicPr>
      </xdr:nvPicPr>
      <xdr:blipFill>
        <a:blip r:embed="rId4"/>
        <a:srcRect l="11069" t="7955" r="13649" b="14832"/>
        <a:stretch>
          <a:fillRect/>
        </a:stretch>
      </xdr:blipFill>
      <xdr:spPr>
        <a:xfrm>
          <a:off x="8808720" y="5155565"/>
          <a:ext cx="814705" cy="488315"/>
        </a:xfrm>
        <a:prstGeom prst="rect">
          <a:avLst/>
        </a:prstGeom>
      </xdr:spPr>
    </xdr:pic>
    <xdr:clientData/>
  </xdr:twoCellAnchor>
  <xdr:twoCellAnchor editAs="oneCell">
    <xdr:from>
      <xdr:col>8</xdr:col>
      <xdr:colOff>178680</xdr:colOff>
      <xdr:row>19</xdr:row>
      <xdr:rowOff>36784</xdr:rowOff>
    </xdr:from>
    <xdr:to>
      <xdr:col>8</xdr:col>
      <xdr:colOff>993232</xdr:colOff>
      <xdr:row>19</xdr:row>
      <xdr:rowOff>525515</xdr:rowOff>
    </xdr:to>
    <xdr:pic>
      <xdr:nvPicPr>
        <xdr:cNvPr id="24" name="Picture 23"/>
        <xdr:cNvPicPr>
          <a:picLocks noChangeAspect="1"/>
        </xdr:cNvPicPr>
      </xdr:nvPicPr>
      <xdr:blipFill>
        <a:blip r:embed="rId4"/>
        <a:srcRect l="11069" t="7955" r="13649" b="14832"/>
        <a:stretch>
          <a:fillRect/>
        </a:stretch>
      </xdr:blipFill>
      <xdr:spPr>
        <a:xfrm>
          <a:off x="8819515" y="5808345"/>
          <a:ext cx="814705" cy="488950"/>
        </a:xfrm>
        <a:prstGeom prst="rect">
          <a:avLst/>
        </a:prstGeom>
      </xdr:spPr>
    </xdr:pic>
    <xdr:clientData/>
  </xdr:twoCellAnchor>
  <xdr:twoCellAnchor editAs="oneCell">
    <xdr:from>
      <xdr:col>8</xdr:col>
      <xdr:colOff>189191</xdr:colOff>
      <xdr:row>20</xdr:row>
      <xdr:rowOff>26274</xdr:rowOff>
    </xdr:from>
    <xdr:to>
      <xdr:col>8</xdr:col>
      <xdr:colOff>1003743</xdr:colOff>
      <xdr:row>20</xdr:row>
      <xdr:rowOff>515005</xdr:rowOff>
    </xdr:to>
    <xdr:pic>
      <xdr:nvPicPr>
        <xdr:cNvPr id="25" name="Picture 24"/>
        <xdr:cNvPicPr>
          <a:picLocks noChangeAspect="1"/>
        </xdr:cNvPicPr>
      </xdr:nvPicPr>
      <xdr:blipFill>
        <a:blip r:embed="rId4"/>
        <a:srcRect l="11069" t="7955" r="13649" b="14832"/>
        <a:stretch>
          <a:fillRect/>
        </a:stretch>
      </xdr:blipFill>
      <xdr:spPr>
        <a:xfrm>
          <a:off x="8829675" y="6350635"/>
          <a:ext cx="814705" cy="488950"/>
        </a:xfrm>
        <a:prstGeom prst="rect">
          <a:avLst/>
        </a:prstGeom>
      </xdr:spPr>
    </xdr:pic>
    <xdr:clientData/>
  </xdr:twoCellAnchor>
  <xdr:twoCellAnchor editAs="oneCell">
    <xdr:from>
      <xdr:col>8</xdr:col>
      <xdr:colOff>183936</xdr:colOff>
      <xdr:row>21</xdr:row>
      <xdr:rowOff>105101</xdr:rowOff>
    </xdr:from>
    <xdr:to>
      <xdr:col>8</xdr:col>
      <xdr:colOff>998488</xdr:colOff>
      <xdr:row>21</xdr:row>
      <xdr:rowOff>593832</xdr:rowOff>
    </xdr:to>
    <xdr:pic>
      <xdr:nvPicPr>
        <xdr:cNvPr id="26" name="Picture 25"/>
        <xdr:cNvPicPr>
          <a:picLocks noChangeAspect="1"/>
        </xdr:cNvPicPr>
      </xdr:nvPicPr>
      <xdr:blipFill>
        <a:blip r:embed="rId4"/>
        <a:srcRect l="11069" t="7955" r="13649" b="14832"/>
        <a:stretch>
          <a:fillRect/>
        </a:stretch>
      </xdr:blipFill>
      <xdr:spPr>
        <a:xfrm>
          <a:off x="8824595" y="6962775"/>
          <a:ext cx="814705" cy="48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0</xdr:row>
      <xdr:rowOff>9525</xdr:rowOff>
    </xdr:from>
    <xdr:ext cx="666750" cy="714375"/>
    <xdr:pic>
      <xdr:nvPicPr>
        <xdr:cNvPr id="2" name="image4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722120" y="9525"/>
          <a:ext cx="666750" cy="7143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1504950</xdr:colOff>
      <xdr:row>0</xdr:row>
      <xdr:rowOff>19050</xdr:rowOff>
    </xdr:from>
    <xdr:ext cx="657225" cy="762000"/>
    <xdr:pic>
      <xdr:nvPicPr>
        <xdr:cNvPr id="2" name="image5.png" descr=" 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204210" y="19050"/>
          <a:ext cx="657225" cy="762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1000"/>
  <sheetViews>
    <sheetView zoomScale="85" zoomScaleNormal="85" topLeftCell="A18" workbookViewId="0">
      <selection activeCell="I26" sqref="I26"/>
    </sheetView>
  </sheetViews>
  <sheetFormatPr defaultColWidth="12.6" defaultRowHeight="15" customHeight="1"/>
  <cols>
    <col min="1" max="1" width="7.7" customWidth="1"/>
    <col min="2" max="2" width="16.2" customWidth="1"/>
    <col min="3" max="3" width="11.2" customWidth="1"/>
    <col min="4" max="4" width="10.7" customWidth="1"/>
    <col min="5" max="5" width="20.7" customWidth="1"/>
    <col min="6" max="7" width="15.2" customWidth="1"/>
    <col min="8" max="8" width="16.5" customWidth="1"/>
    <col min="9" max="10" width="15.5" customWidth="1"/>
    <col min="11" max="27" width="7.7" customWidth="1"/>
  </cols>
  <sheetData>
    <row r="2" ht="15.5" spans="3:3">
      <c r="C2" s="74" t="s">
        <v>0</v>
      </c>
    </row>
    <row r="3" ht="15.5" spans="3:3">
      <c r="C3" s="74" t="s">
        <v>1</v>
      </c>
    </row>
    <row r="4" ht="15.5" spans="3:3">
      <c r="C4" s="74" t="s">
        <v>2</v>
      </c>
    </row>
    <row r="5" ht="14.5" spans="3:10">
      <c r="C5" s="7"/>
      <c r="D5" s="7"/>
      <c r="E5" s="7"/>
      <c r="F5" s="7"/>
      <c r="G5" s="7"/>
      <c r="H5" s="7"/>
      <c r="I5" s="7"/>
      <c r="J5" s="7"/>
    </row>
    <row r="6" ht="14.5" spans="3:10">
      <c r="C6" s="7"/>
      <c r="D6" s="7"/>
      <c r="E6" s="7"/>
      <c r="F6" s="7"/>
      <c r="G6" s="7"/>
      <c r="H6" s="7"/>
      <c r="I6" s="7"/>
      <c r="J6" s="7"/>
    </row>
    <row r="7" customHeight="1" spans="2:10">
      <c r="B7" s="5" t="s">
        <v>3</v>
      </c>
      <c r="C7" s="6" t="s">
        <v>4</v>
      </c>
      <c r="D7" s="101"/>
      <c r="E7" s="101"/>
      <c r="F7" s="101"/>
      <c r="G7" s="83" t="s">
        <v>5</v>
      </c>
      <c r="H7" s="83" t="s">
        <v>6</v>
      </c>
      <c r="I7" s="92"/>
      <c r="J7" s="92"/>
    </row>
    <row r="8" ht="15.75" customHeight="1" spans="2:10">
      <c r="B8" s="7" t="s">
        <v>7</v>
      </c>
      <c r="C8" s="9" t="s">
        <v>8</v>
      </c>
      <c r="D8" s="102"/>
      <c r="E8" s="102"/>
      <c r="F8" s="102"/>
      <c r="G8" s="83" t="s">
        <v>9</v>
      </c>
      <c r="H8" s="83" t="s">
        <v>10</v>
      </c>
      <c r="I8" s="92"/>
      <c r="J8" s="92"/>
    </row>
    <row r="9" ht="15.75" customHeight="1" spans="2:10">
      <c r="B9" s="7" t="s">
        <v>11</v>
      </c>
      <c r="C9" s="9" t="s">
        <v>12</v>
      </c>
      <c r="D9" s="102"/>
      <c r="E9" s="102"/>
      <c r="F9" s="102"/>
      <c r="G9" s="103"/>
      <c r="H9" s="102"/>
      <c r="I9" s="92"/>
      <c r="J9" s="92"/>
    </row>
    <row r="10" ht="16.5" customHeight="1" spans="2:10">
      <c r="B10" s="7" t="s">
        <v>13</v>
      </c>
      <c r="C10" s="9" t="s">
        <v>14</v>
      </c>
      <c r="D10" s="102"/>
      <c r="E10" s="102"/>
      <c r="F10" s="102"/>
      <c r="G10" s="103"/>
      <c r="H10" s="102"/>
      <c r="I10" s="102"/>
      <c r="J10" s="102"/>
    </row>
    <row r="11" ht="16.5" customHeight="1" spans="2:10">
      <c r="B11" s="103"/>
      <c r="C11" s="103"/>
      <c r="D11" s="103"/>
      <c r="E11" s="103"/>
      <c r="F11" s="102"/>
      <c r="G11" s="102"/>
      <c r="H11" s="102"/>
      <c r="I11" s="102"/>
      <c r="J11" s="102"/>
    </row>
    <row r="12" ht="15.75" customHeight="1" spans="2:10">
      <c r="B12" s="104" t="s">
        <v>15</v>
      </c>
      <c r="C12" s="11"/>
      <c r="D12" s="11"/>
      <c r="E12" s="11"/>
      <c r="F12" s="11"/>
      <c r="G12" s="11"/>
      <c r="H12" s="11"/>
      <c r="I12" s="11"/>
      <c r="J12" s="49"/>
    </row>
    <row r="13" ht="15.5" spans="2:10">
      <c r="B13" s="105" t="s">
        <v>16</v>
      </c>
      <c r="C13" s="106" t="s">
        <v>17</v>
      </c>
      <c r="D13" s="105" t="s">
        <v>18</v>
      </c>
      <c r="E13" s="106" t="s">
        <v>19</v>
      </c>
      <c r="F13" s="105" t="s">
        <v>20</v>
      </c>
      <c r="G13" s="106" t="s">
        <v>21</v>
      </c>
      <c r="H13" s="106" t="s">
        <v>22</v>
      </c>
      <c r="I13" s="106" t="s">
        <v>23</v>
      </c>
      <c r="J13" s="106" t="s">
        <v>24</v>
      </c>
    </row>
    <row r="14" ht="15.5" spans="2:10">
      <c r="B14" s="106" t="s">
        <v>25</v>
      </c>
      <c r="C14" s="24"/>
      <c r="D14" s="106" t="s">
        <v>25</v>
      </c>
      <c r="E14" s="24"/>
      <c r="F14" s="106" t="s">
        <v>26</v>
      </c>
      <c r="G14" s="24"/>
      <c r="H14" s="24"/>
      <c r="I14" s="24"/>
      <c r="J14" s="24"/>
    </row>
    <row r="15" ht="41.25" customHeight="1" spans="2:19">
      <c r="B15" s="107">
        <v>1</v>
      </c>
      <c r="C15" s="108" t="s">
        <v>27</v>
      </c>
      <c r="D15" s="109">
        <v>1</v>
      </c>
      <c r="E15" s="109" t="s">
        <v>28</v>
      </c>
      <c r="F15" s="109" t="s">
        <v>29</v>
      </c>
      <c r="G15" s="107"/>
      <c r="H15" s="110"/>
      <c r="I15" s="110"/>
      <c r="J15" s="110">
        <v>35</v>
      </c>
      <c r="L15" s="7"/>
      <c r="M15" s="7"/>
      <c r="N15" s="7"/>
      <c r="O15" s="7"/>
      <c r="P15" s="7"/>
      <c r="Q15" s="7"/>
      <c r="R15" s="7"/>
      <c r="S15" s="7"/>
    </row>
    <row r="16" ht="45" customHeight="1" spans="2:10">
      <c r="B16" s="107">
        <v>2</v>
      </c>
      <c r="C16" s="111" t="s">
        <v>30</v>
      </c>
      <c r="D16" s="109">
        <v>2</v>
      </c>
      <c r="E16" s="112" t="s">
        <v>31</v>
      </c>
      <c r="F16" s="109" t="s">
        <v>29</v>
      </c>
      <c r="G16" s="107"/>
      <c r="H16" s="110"/>
      <c r="I16" s="110"/>
      <c r="J16" s="110">
        <v>36</v>
      </c>
    </row>
    <row r="17" ht="46.5" spans="2:10">
      <c r="B17" s="107">
        <v>3</v>
      </c>
      <c r="C17" s="108" t="s">
        <v>32</v>
      </c>
      <c r="D17" s="109">
        <v>3</v>
      </c>
      <c r="E17" s="109" t="s">
        <v>33</v>
      </c>
      <c r="F17" s="109" t="s">
        <v>29</v>
      </c>
      <c r="G17" s="107"/>
      <c r="H17" s="110"/>
      <c r="I17" s="110"/>
      <c r="J17" s="110">
        <v>32</v>
      </c>
    </row>
    <row r="18" ht="50.25" customHeight="1" spans="2:10">
      <c r="B18" s="107">
        <v>4</v>
      </c>
      <c r="C18" s="108" t="s">
        <v>34</v>
      </c>
      <c r="D18" s="109">
        <v>4</v>
      </c>
      <c r="E18" s="109" t="s">
        <v>35</v>
      </c>
      <c r="F18" s="109" t="s">
        <v>29</v>
      </c>
      <c r="G18" s="107"/>
      <c r="H18" s="110"/>
      <c r="I18" s="110"/>
      <c r="J18" s="110">
        <v>31</v>
      </c>
    </row>
    <row r="19" ht="54.75" customHeight="1" spans="2:10">
      <c r="B19" s="107">
        <v>5</v>
      </c>
      <c r="C19" s="108" t="s">
        <v>36</v>
      </c>
      <c r="D19" s="109">
        <v>5</v>
      </c>
      <c r="E19" s="109" t="s">
        <v>37</v>
      </c>
      <c r="F19" s="109" t="s">
        <v>29</v>
      </c>
      <c r="G19" s="107"/>
      <c r="H19" s="110"/>
      <c r="I19" s="110"/>
      <c r="J19" s="110">
        <v>33</v>
      </c>
    </row>
    <row r="20" ht="43.5" customHeight="1" spans="2:10">
      <c r="B20" s="107">
        <v>6</v>
      </c>
      <c r="C20" s="108" t="s">
        <v>38</v>
      </c>
      <c r="D20" s="109">
        <v>6</v>
      </c>
      <c r="E20" s="109" t="s">
        <v>39</v>
      </c>
      <c r="F20" s="109" t="s">
        <v>29</v>
      </c>
      <c r="G20" s="107"/>
      <c r="H20" s="110"/>
      <c r="I20" s="110"/>
      <c r="J20" s="110">
        <v>29</v>
      </c>
    </row>
    <row r="21" ht="42" customHeight="1" spans="2:10">
      <c r="B21" s="107">
        <v>7</v>
      </c>
      <c r="C21" s="108" t="s">
        <v>40</v>
      </c>
      <c r="D21" s="107">
        <v>7</v>
      </c>
      <c r="E21" s="109" t="s">
        <v>41</v>
      </c>
      <c r="F21" s="107" t="s">
        <v>29</v>
      </c>
      <c r="G21" s="107"/>
      <c r="H21" s="110"/>
      <c r="I21" s="110"/>
      <c r="J21" s="110">
        <v>32</v>
      </c>
    </row>
    <row r="22" ht="51" customHeight="1" spans="1:10">
      <c r="A22" s="113"/>
      <c r="B22" s="114">
        <v>8</v>
      </c>
      <c r="C22" s="108" t="s">
        <v>42</v>
      </c>
      <c r="D22" s="115">
        <v>8</v>
      </c>
      <c r="E22" s="116" t="s">
        <v>43</v>
      </c>
      <c r="F22" s="49"/>
      <c r="G22" s="107"/>
      <c r="H22" s="110"/>
      <c r="I22" s="110"/>
      <c r="J22" s="115">
        <v>36</v>
      </c>
    </row>
    <row r="23" ht="15.75" customHeight="1" spans="6:10">
      <c r="F23" s="7"/>
      <c r="G23" s="7"/>
      <c r="H23" s="7"/>
      <c r="I23" s="7"/>
      <c r="J23" s="117"/>
    </row>
    <row r="24" ht="15.75" customHeight="1" spans="6:10">
      <c r="F24" s="7"/>
      <c r="G24" s="7"/>
      <c r="H24" s="7"/>
      <c r="I24" s="7"/>
      <c r="J24" s="117"/>
    </row>
    <row r="25" ht="15.75" customHeight="1" spans="3:10">
      <c r="C25" s="7" t="s">
        <v>44</v>
      </c>
      <c r="F25" s="7"/>
      <c r="G25" s="7"/>
      <c r="H25" s="7"/>
      <c r="I25" s="7" t="s">
        <v>45</v>
      </c>
      <c r="J25" s="117"/>
    </row>
    <row r="26" ht="15.75" customHeight="1" spans="3:10">
      <c r="C26" s="7" t="s">
        <v>46</v>
      </c>
      <c r="F26" s="7"/>
      <c r="G26" s="7"/>
      <c r="H26" s="7"/>
      <c r="I26" s="7" t="s">
        <v>47</v>
      </c>
      <c r="J26" s="117"/>
    </row>
    <row r="27" ht="15.75" customHeight="1" spans="6:10">
      <c r="F27" s="7"/>
      <c r="G27" s="7"/>
      <c r="H27" s="7"/>
      <c r="I27" s="7"/>
      <c r="J27" s="117"/>
    </row>
    <row r="28" ht="15.75" customHeight="1" spans="6:10">
      <c r="F28" s="7"/>
      <c r="G28" s="7"/>
      <c r="H28" s="7"/>
      <c r="I28" s="7"/>
      <c r="J28" s="7"/>
    </row>
    <row r="29" ht="15.75" customHeight="1"/>
    <row r="30" ht="15.75" customHeight="1"/>
    <row r="31" ht="15.75" customHeight="1" spans="1:27">
      <c r="A31" s="5"/>
      <c r="B31" s="5"/>
      <c r="C31" s="5" t="s">
        <v>48</v>
      </c>
      <c r="D31" s="5"/>
      <c r="E31" s="5"/>
      <c r="F31" s="5"/>
      <c r="G31" s="5"/>
      <c r="H31" s="5"/>
      <c r="I31" s="5" t="s">
        <v>49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2:J2"/>
    <mergeCell ref="C3:J3"/>
    <mergeCell ref="C4:J4"/>
    <mergeCell ref="B12:J12"/>
    <mergeCell ref="E22:F22"/>
    <mergeCell ref="C13:C14"/>
    <mergeCell ref="E13:E14"/>
    <mergeCell ref="G13:G14"/>
    <mergeCell ref="H13:H14"/>
    <mergeCell ref="I13:I14"/>
    <mergeCell ref="J13:J14"/>
  </mergeCells>
  <printOptions horizontalCentered="1"/>
  <pageMargins left="0.7" right="0.7" top="0.75" bottom="0.75" header="0" footer="0"/>
  <pageSetup paperSize="9" scale="65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zoomScale="85" zoomScaleNormal="85" topLeftCell="A35" workbookViewId="0">
      <selection activeCell="K53" sqref="K53"/>
    </sheetView>
  </sheetViews>
  <sheetFormatPr defaultColWidth="12.6" defaultRowHeight="15" customHeight="1"/>
  <cols>
    <col min="1" max="1" width="4.5" customWidth="1"/>
    <col min="2" max="2" width="18.1" customWidth="1"/>
    <col min="3" max="3" width="43.7" customWidth="1"/>
    <col min="4" max="6" width="3.7" customWidth="1"/>
    <col min="7" max="8" width="3.5" customWidth="1"/>
    <col min="9" max="9" width="3.2" customWidth="1"/>
    <col min="10" max="11" width="3.7" customWidth="1"/>
    <col min="12" max="12" width="24.7" customWidth="1"/>
    <col min="13" max="13" width="27" customWidth="1"/>
    <col min="14" max="14" width="7.7" customWidth="1"/>
    <col min="15" max="15" width="18.1" customWidth="1"/>
    <col min="16" max="26" width="7.7" customWidth="1"/>
  </cols>
  <sheetData>
    <row r="1" ht="18.5" spans="1:18">
      <c r="A1" s="74" t="s">
        <v>50</v>
      </c>
      <c r="N1" s="94"/>
      <c r="O1" s="94"/>
      <c r="P1" s="94"/>
      <c r="Q1" s="94"/>
      <c r="R1" s="94"/>
    </row>
    <row r="2" ht="18.5" spans="1:18">
      <c r="A2" s="74" t="s">
        <v>51</v>
      </c>
      <c r="N2" s="78"/>
      <c r="O2" s="78"/>
      <c r="P2" s="78"/>
      <c r="Q2" s="78"/>
      <c r="R2" s="78"/>
    </row>
    <row r="3" ht="18.5" spans="1:18">
      <c r="A3" s="74" t="s">
        <v>2</v>
      </c>
      <c r="N3" s="78"/>
      <c r="O3" s="78"/>
      <c r="P3" s="78"/>
      <c r="Q3" s="78"/>
      <c r="R3" s="78"/>
    </row>
    <row r="4" ht="18.75" customHeight="1" spans="1:18">
      <c r="A4" s="75" t="s">
        <v>52</v>
      </c>
      <c r="N4" s="94"/>
      <c r="O4" s="94"/>
      <c r="P4" s="94"/>
      <c r="Q4" s="94"/>
      <c r="R4" s="94"/>
    </row>
    <row r="5" ht="18.75" customHeight="1" spans="14:18">
      <c r="N5" s="94"/>
      <c r="O5" s="94"/>
      <c r="P5" s="94"/>
      <c r="Q5" s="94"/>
      <c r="R5" s="94"/>
    </row>
    <row r="6" ht="18.5" spans="1:18">
      <c r="A6" s="7"/>
      <c r="B6" s="76"/>
      <c r="C6" s="77"/>
      <c r="D6" s="78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</row>
    <row r="7" ht="18.5" spans="1:20">
      <c r="A7" s="7"/>
      <c r="B7" s="79" t="s">
        <v>3</v>
      </c>
      <c r="C7" s="80" t="s">
        <v>4</v>
      </c>
      <c r="D7" s="80"/>
      <c r="E7" s="80"/>
      <c r="F7" s="80"/>
      <c r="G7" s="80"/>
      <c r="H7" s="80"/>
      <c r="I7" s="80"/>
      <c r="J7" s="80"/>
      <c r="K7" s="95"/>
      <c r="L7" s="83" t="s">
        <v>5</v>
      </c>
      <c r="M7" s="83" t="s">
        <v>6</v>
      </c>
      <c r="N7" s="3"/>
      <c r="O7" s="3"/>
      <c r="P7" s="3"/>
      <c r="Q7" s="3"/>
      <c r="R7" s="3"/>
      <c r="S7" s="3"/>
      <c r="T7" s="3"/>
    </row>
    <row r="8" ht="18.5" spans="1:20">
      <c r="A8" s="7"/>
      <c r="B8" s="81" t="s">
        <v>7</v>
      </c>
      <c r="C8" s="82" t="s">
        <v>8</v>
      </c>
      <c r="D8" s="82"/>
      <c r="E8" s="82"/>
      <c r="F8" s="82"/>
      <c r="G8" s="82"/>
      <c r="H8" s="82"/>
      <c r="I8" s="82"/>
      <c r="J8" s="82"/>
      <c r="K8" s="95"/>
      <c r="L8" s="83" t="s">
        <v>9</v>
      </c>
      <c r="M8" s="83" t="s">
        <v>10</v>
      </c>
      <c r="N8" s="3"/>
      <c r="O8" s="3"/>
      <c r="P8" s="3"/>
      <c r="Q8" s="3"/>
      <c r="R8" s="3"/>
      <c r="S8" s="3"/>
      <c r="T8" s="3"/>
    </row>
    <row r="9" ht="15.5" spans="2:13">
      <c r="B9" s="83" t="s">
        <v>13</v>
      </c>
      <c r="C9" s="82" t="s">
        <v>14</v>
      </c>
      <c r="D9" s="53"/>
      <c r="E9" s="53"/>
      <c r="F9" s="53"/>
      <c r="G9" s="53"/>
      <c r="H9" s="53"/>
      <c r="I9" s="53"/>
      <c r="J9" s="53"/>
      <c r="K9" s="95"/>
      <c r="L9" s="96"/>
      <c r="M9" s="96"/>
    </row>
    <row r="10" ht="15.5" spans="2:13">
      <c r="B10" s="83" t="s">
        <v>53</v>
      </c>
      <c r="C10" s="82" t="s">
        <v>12</v>
      </c>
      <c r="D10" s="82"/>
      <c r="E10" s="82"/>
      <c r="F10" s="82"/>
      <c r="G10" s="82"/>
      <c r="H10" s="82"/>
      <c r="I10" s="82"/>
      <c r="J10" s="82"/>
      <c r="K10" s="95"/>
      <c r="L10" s="95"/>
      <c r="M10" s="95"/>
    </row>
    <row r="12" ht="24" customHeight="1" spans="1:18">
      <c r="A12" s="84" t="s">
        <v>54</v>
      </c>
      <c r="B12" s="84" t="s">
        <v>55</v>
      </c>
      <c r="C12" s="84" t="s">
        <v>56</v>
      </c>
      <c r="D12" s="85" t="s">
        <v>57</v>
      </c>
      <c r="E12" s="11"/>
      <c r="F12" s="11"/>
      <c r="G12" s="11"/>
      <c r="H12" s="11"/>
      <c r="I12" s="11"/>
      <c r="J12" s="11"/>
      <c r="K12" s="11"/>
      <c r="L12" s="11"/>
      <c r="M12" s="49"/>
      <c r="N12" s="7"/>
      <c r="O12" s="7"/>
      <c r="P12" s="7"/>
      <c r="Q12" s="7"/>
      <c r="R12" s="7"/>
    </row>
    <row r="13" ht="36" customHeight="1" spans="1:18">
      <c r="A13" s="24"/>
      <c r="B13" s="24"/>
      <c r="C13" s="24"/>
      <c r="D13" s="84">
        <v>1</v>
      </c>
      <c r="E13" s="84">
        <v>2</v>
      </c>
      <c r="F13" s="84">
        <v>3</v>
      </c>
      <c r="G13" s="84">
        <v>4</v>
      </c>
      <c r="H13" s="84">
        <v>5</v>
      </c>
      <c r="I13" s="84">
        <v>6</v>
      </c>
      <c r="J13" s="84">
        <v>7</v>
      </c>
      <c r="K13" s="84">
        <v>8</v>
      </c>
      <c r="L13" s="97" t="s">
        <v>58</v>
      </c>
      <c r="M13" s="97" t="s">
        <v>59</v>
      </c>
      <c r="N13" s="7"/>
      <c r="O13" s="7"/>
      <c r="P13" s="7"/>
      <c r="Q13" s="7"/>
      <c r="R13" s="7"/>
    </row>
    <row r="14" ht="15.5" spans="1:18">
      <c r="A14" s="86">
        <v>1</v>
      </c>
      <c r="B14" s="28">
        <v>243510579</v>
      </c>
      <c r="C14" s="28" t="s">
        <v>60</v>
      </c>
      <c r="D14" s="87" t="s">
        <v>61</v>
      </c>
      <c r="E14" s="87" t="s">
        <v>61</v>
      </c>
      <c r="F14" s="87" t="s">
        <v>61</v>
      </c>
      <c r="G14" s="87" t="s">
        <v>62</v>
      </c>
      <c r="H14" s="87" t="s">
        <v>61</v>
      </c>
      <c r="I14" s="87" t="s">
        <v>63</v>
      </c>
      <c r="J14" s="87" t="s">
        <v>61</v>
      </c>
      <c r="K14" s="87" t="s">
        <v>61</v>
      </c>
      <c r="L14" s="29">
        <v>6</v>
      </c>
      <c r="M14" s="31" t="s">
        <v>64</v>
      </c>
      <c r="N14" s="98"/>
      <c r="O14" s="7"/>
      <c r="P14" s="99" t="s">
        <v>61</v>
      </c>
      <c r="Q14" s="7" t="s">
        <v>65</v>
      </c>
      <c r="R14" s="7"/>
    </row>
    <row r="15" ht="15.5" spans="1:14">
      <c r="A15" s="86">
        <v>2</v>
      </c>
      <c r="B15" s="28">
        <v>243510470</v>
      </c>
      <c r="C15" s="28" t="s">
        <v>66</v>
      </c>
      <c r="D15" s="87" t="s">
        <v>61</v>
      </c>
      <c r="E15" s="87" t="s">
        <v>61</v>
      </c>
      <c r="F15" s="87" t="s">
        <v>61</v>
      </c>
      <c r="G15" s="87" t="s">
        <v>61</v>
      </c>
      <c r="H15" s="87" t="s">
        <v>61</v>
      </c>
      <c r="I15" s="87" t="s">
        <v>63</v>
      </c>
      <c r="J15" s="87" t="s">
        <v>61</v>
      </c>
      <c r="K15" s="87" t="s">
        <v>61</v>
      </c>
      <c r="L15" s="29">
        <v>7</v>
      </c>
      <c r="M15" s="31" t="s">
        <v>67</v>
      </c>
      <c r="N15" s="98"/>
    </row>
    <row r="16" ht="15.5" spans="1:14">
      <c r="A16" s="86">
        <v>3</v>
      </c>
      <c r="B16" s="28">
        <v>243510725</v>
      </c>
      <c r="C16" s="28" t="s">
        <v>68</v>
      </c>
      <c r="D16" s="87" t="s">
        <v>61</v>
      </c>
      <c r="E16" s="87" t="s">
        <v>61</v>
      </c>
      <c r="F16" s="87" t="s">
        <v>61</v>
      </c>
      <c r="G16" s="87" t="s">
        <v>61</v>
      </c>
      <c r="H16" s="87" t="s">
        <v>61</v>
      </c>
      <c r="I16" s="87" t="s">
        <v>61</v>
      </c>
      <c r="J16" s="87" t="s">
        <v>61</v>
      </c>
      <c r="K16" s="87" t="s">
        <v>61</v>
      </c>
      <c r="L16" s="29">
        <v>8</v>
      </c>
      <c r="M16" s="31"/>
      <c r="N16" s="98"/>
    </row>
    <row r="17" ht="15.5" spans="1:14">
      <c r="A17" s="86">
        <v>4</v>
      </c>
      <c r="B17" s="28">
        <v>243510126</v>
      </c>
      <c r="C17" s="28" t="s">
        <v>69</v>
      </c>
      <c r="D17" s="87" t="s">
        <v>61</v>
      </c>
      <c r="E17" s="87" t="s">
        <v>61</v>
      </c>
      <c r="F17" s="87" t="s">
        <v>61</v>
      </c>
      <c r="G17" s="87" t="s">
        <v>63</v>
      </c>
      <c r="H17" s="87" t="s">
        <v>61</v>
      </c>
      <c r="I17" s="87" t="s">
        <v>63</v>
      </c>
      <c r="J17" s="87" t="s">
        <v>61</v>
      </c>
      <c r="K17" s="87" t="s">
        <v>61</v>
      </c>
      <c r="L17" s="29">
        <v>6</v>
      </c>
      <c r="M17" s="31" t="s">
        <v>70</v>
      </c>
      <c r="N17" s="98"/>
    </row>
    <row r="18" ht="15.5" spans="1:14">
      <c r="A18" s="86">
        <v>5</v>
      </c>
      <c r="B18" s="28">
        <v>243510632</v>
      </c>
      <c r="C18" s="28" t="s">
        <v>71</v>
      </c>
      <c r="D18" s="87" t="s">
        <v>61</v>
      </c>
      <c r="E18" s="87" t="s">
        <v>61</v>
      </c>
      <c r="F18" s="87" t="s">
        <v>61</v>
      </c>
      <c r="G18" s="87" t="s">
        <v>61</v>
      </c>
      <c r="H18" s="87" t="s">
        <v>61</v>
      </c>
      <c r="I18" s="87" t="s">
        <v>61</v>
      </c>
      <c r="J18" s="87" t="s">
        <v>61</v>
      </c>
      <c r="K18" s="87" t="s">
        <v>61</v>
      </c>
      <c r="L18" s="29">
        <v>8</v>
      </c>
      <c r="M18" s="31"/>
      <c r="N18" s="98"/>
    </row>
    <row r="19" ht="15.75" customHeight="1" spans="1:14">
      <c r="A19" s="86">
        <v>6</v>
      </c>
      <c r="B19" s="28">
        <v>243510481</v>
      </c>
      <c r="C19" s="28" t="s">
        <v>72</v>
      </c>
      <c r="D19" s="87" t="s">
        <v>61</v>
      </c>
      <c r="E19" s="87" t="s">
        <v>61</v>
      </c>
      <c r="F19" s="87" t="s">
        <v>61</v>
      </c>
      <c r="G19" s="87" t="s">
        <v>61</v>
      </c>
      <c r="H19" s="87" t="s">
        <v>61</v>
      </c>
      <c r="I19" s="87" t="s">
        <v>61</v>
      </c>
      <c r="J19" s="87" t="s">
        <v>61</v>
      </c>
      <c r="K19" s="87" t="s">
        <v>61</v>
      </c>
      <c r="L19" s="29">
        <v>8</v>
      </c>
      <c r="M19" s="31"/>
      <c r="N19" s="98"/>
    </row>
    <row r="20" ht="15.75" customHeight="1" spans="1:14">
      <c r="A20" s="86">
        <v>7</v>
      </c>
      <c r="B20" s="28">
        <v>243510398</v>
      </c>
      <c r="C20" s="28" t="s">
        <v>73</v>
      </c>
      <c r="D20" s="87" t="s">
        <v>61</v>
      </c>
      <c r="E20" s="87" t="s">
        <v>61</v>
      </c>
      <c r="F20" s="87" t="s">
        <v>61</v>
      </c>
      <c r="G20" s="87" t="s">
        <v>61</v>
      </c>
      <c r="H20" s="87" t="s">
        <v>61</v>
      </c>
      <c r="I20" s="87" t="s">
        <v>61</v>
      </c>
      <c r="J20" s="87" t="s">
        <v>61</v>
      </c>
      <c r="K20" s="87" t="s">
        <v>61</v>
      </c>
      <c r="L20" s="29">
        <v>8</v>
      </c>
      <c r="M20" s="31"/>
      <c r="N20" s="98"/>
    </row>
    <row r="21" ht="15.75" customHeight="1" spans="1:14">
      <c r="A21" s="86">
        <v>8</v>
      </c>
      <c r="B21" s="28">
        <v>243510447</v>
      </c>
      <c r="C21" s="28" t="s">
        <v>74</v>
      </c>
      <c r="D21" s="87" t="s">
        <v>61</v>
      </c>
      <c r="E21" s="87" t="s">
        <v>61</v>
      </c>
      <c r="F21" s="87" t="s">
        <v>61</v>
      </c>
      <c r="G21" s="87" t="s">
        <v>62</v>
      </c>
      <c r="H21" s="87" t="s">
        <v>61</v>
      </c>
      <c r="I21" s="87" t="s">
        <v>63</v>
      </c>
      <c r="J21" s="87" t="s">
        <v>61</v>
      </c>
      <c r="K21" s="87" t="s">
        <v>61</v>
      </c>
      <c r="L21" s="29">
        <v>6</v>
      </c>
      <c r="M21" s="31" t="s">
        <v>75</v>
      </c>
      <c r="N21" s="98"/>
    </row>
    <row r="22" ht="15.75" customHeight="1" spans="1:14">
      <c r="A22" s="86">
        <v>9</v>
      </c>
      <c r="B22" s="28">
        <v>243510587</v>
      </c>
      <c r="C22" s="28" t="s">
        <v>76</v>
      </c>
      <c r="D22" s="87" t="s">
        <v>61</v>
      </c>
      <c r="E22" s="87" t="s">
        <v>61</v>
      </c>
      <c r="F22" s="87" t="s">
        <v>61</v>
      </c>
      <c r="G22" s="87" t="s">
        <v>61</v>
      </c>
      <c r="H22" s="87" t="s">
        <v>61</v>
      </c>
      <c r="I22" s="87" t="s">
        <v>61</v>
      </c>
      <c r="J22" s="87" t="s">
        <v>61</v>
      </c>
      <c r="K22" s="87" t="s">
        <v>61</v>
      </c>
      <c r="L22" s="29">
        <v>8</v>
      </c>
      <c r="M22" s="31"/>
      <c r="N22" s="98"/>
    </row>
    <row r="23" ht="15.75" customHeight="1" spans="1:14">
      <c r="A23" s="86">
        <v>10</v>
      </c>
      <c r="B23" s="28">
        <v>243510744</v>
      </c>
      <c r="C23" s="28" t="s">
        <v>77</v>
      </c>
      <c r="D23" s="87" t="s">
        <v>61</v>
      </c>
      <c r="E23" s="87" t="s">
        <v>61</v>
      </c>
      <c r="F23" s="88" t="s">
        <v>62</v>
      </c>
      <c r="G23" s="87" t="s">
        <v>61</v>
      </c>
      <c r="H23" s="87" t="s">
        <v>61</v>
      </c>
      <c r="I23" s="87" t="s">
        <v>61</v>
      </c>
      <c r="J23" s="87" t="s">
        <v>61</v>
      </c>
      <c r="K23" s="87" t="s">
        <v>61</v>
      </c>
      <c r="L23" s="29">
        <v>7</v>
      </c>
      <c r="M23" s="31" t="s">
        <v>78</v>
      </c>
      <c r="N23" s="98"/>
    </row>
    <row r="24" ht="15.75" customHeight="1" spans="1:14">
      <c r="A24" s="86">
        <v>11</v>
      </c>
      <c r="B24" s="28">
        <v>243510438</v>
      </c>
      <c r="C24" s="28" t="s">
        <v>79</v>
      </c>
      <c r="D24" s="87" t="s">
        <v>61</v>
      </c>
      <c r="E24" s="87" t="s">
        <v>61</v>
      </c>
      <c r="F24" s="88" t="s">
        <v>80</v>
      </c>
      <c r="G24" s="87" t="s">
        <v>61</v>
      </c>
      <c r="H24" s="87" t="s">
        <v>61</v>
      </c>
      <c r="I24" s="87" t="s">
        <v>61</v>
      </c>
      <c r="J24" s="87" t="s">
        <v>61</v>
      </c>
      <c r="K24" s="87" t="s">
        <v>61</v>
      </c>
      <c r="L24" s="29">
        <v>7</v>
      </c>
      <c r="M24" s="31" t="s">
        <v>81</v>
      </c>
      <c r="N24" s="98"/>
    </row>
    <row r="25" ht="15.75" customHeight="1" spans="1:14">
      <c r="A25" s="86">
        <v>12</v>
      </c>
      <c r="B25" s="28">
        <v>223510571</v>
      </c>
      <c r="C25" s="28" t="s">
        <v>82</v>
      </c>
      <c r="D25" s="87" t="s">
        <v>61</v>
      </c>
      <c r="E25" s="87" t="s">
        <v>61</v>
      </c>
      <c r="F25" s="88" t="s">
        <v>80</v>
      </c>
      <c r="G25" s="87" t="s">
        <v>61</v>
      </c>
      <c r="H25" s="87" t="s">
        <v>62</v>
      </c>
      <c r="I25" s="87" t="s">
        <v>61</v>
      </c>
      <c r="J25" s="87" t="s">
        <v>62</v>
      </c>
      <c r="K25" s="87" t="s">
        <v>61</v>
      </c>
      <c r="L25" s="29">
        <v>5</v>
      </c>
      <c r="M25" s="31" t="s">
        <v>83</v>
      </c>
      <c r="N25" s="98"/>
    </row>
    <row r="26" ht="15.75" customHeight="1" spans="1:14">
      <c r="A26" s="86">
        <v>13</v>
      </c>
      <c r="B26" s="28">
        <v>243510358</v>
      </c>
      <c r="C26" s="28" t="s">
        <v>84</v>
      </c>
      <c r="D26" s="87" t="s">
        <v>61</v>
      </c>
      <c r="E26" s="87" t="s">
        <v>61</v>
      </c>
      <c r="F26" s="87" t="s">
        <v>61</v>
      </c>
      <c r="G26" s="87" t="s">
        <v>61</v>
      </c>
      <c r="H26" s="87" t="s">
        <v>61</v>
      </c>
      <c r="I26" s="87" t="s">
        <v>63</v>
      </c>
      <c r="J26" s="87" t="s">
        <v>61</v>
      </c>
      <c r="K26" s="87" t="s">
        <v>61</v>
      </c>
      <c r="L26" s="29">
        <v>7</v>
      </c>
      <c r="M26" s="31" t="s">
        <v>67</v>
      </c>
      <c r="N26" s="98"/>
    </row>
    <row r="27" ht="15.75" customHeight="1" spans="1:14">
      <c r="A27" s="86">
        <v>14</v>
      </c>
      <c r="B27" s="28">
        <v>243510706</v>
      </c>
      <c r="C27" s="28" t="s">
        <v>85</v>
      </c>
      <c r="D27" s="87" t="s">
        <v>61</v>
      </c>
      <c r="E27" s="87" t="s">
        <v>61</v>
      </c>
      <c r="F27" s="87" t="s">
        <v>61</v>
      </c>
      <c r="G27" s="87" t="s">
        <v>61</v>
      </c>
      <c r="H27" s="87" t="s">
        <v>61</v>
      </c>
      <c r="I27" s="87" t="s">
        <v>61</v>
      </c>
      <c r="J27" s="87" t="s">
        <v>61</v>
      </c>
      <c r="K27" s="87" t="s">
        <v>61</v>
      </c>
      <c r="L27" s="29">
        <v>8</v>
      </c>
      <c r="M27" s="31"/>
      <c r="N27" s="98"/>
    </row>
    <row r="28" ht="15.75" customHeight="1" spans="1:14">
      <c r="A28" s="86">
        <v>15</v>
      </c>
      <c r="B28" s="28">
        <v>243510670</v>
      </c>
      <c r="C28" s="28" t="s">
        <v>86</v>
      </c>
      <c r="D28" s="87" t="s">
        <v>61</v>
      </c>
      <c r="E28" s="87" t="s">
        <v>61</v>
      </c>
      <c r="F28" s="87" t="s">
        <v>61</v>
      </c>
      <c r="G28" s="87" t="s">
        <v>61</v>
      </c>
      <c r="H28" s="87" t="s">
        <v>61</v>
      </c>
      <c r="I28" s="87" t="s">
        <v>61</v>
      </c>
      <c r="J28" s="87" t="s">
        <v>61</v>
      </c>
      <c r="K28" s="87" t="s">
        <v>61</v>
      </c>
      <c r="L28" s="29">
        <v>8</v>
      </c>
      <c r="M28" s="31"/>
      <c r="N28" s="98"/>
    </row>
    <row r="29" ht="15.75" customHeight="1" spans="1:14">
      <c r="A29" s="86">
        <v>16</v>
      </c>
      <c r="B29" s="28">
        <v>243510671</v>
      </c>
      <c r="C29" s="28" t="s">
        <v>87</v>
      </c>
      <c r="D29" s="87" t="s">
        <v>61</v>
      </c>
      <c r="E29" s="87" t="s">
        <v>61</v>
      </c>
      <c r="F29" s="87" t="s">
        <v>61</v>
      </c>
      <c r="G29" s="87" t="s">
        <v>61</v>
      </c>
      <c r="H29" s="87" t="s">
        <v>61</v>
      </c>
      <c r="I29" s="87" t="s">
        <v>61</v>
      </c>
      <c r="J29" s="87" t="s">
        <v>61</v>
      </c>
      <c r="K29" s="87" t="s">
        <v>61</v>
      </c>
      <c r="L29" s="29">
        <v>8</v>
      </c>
      <c r="M29" s="31"/>
      <c r="N29" s="98"/>
    </row>
    <row r="30" ht="15.75" customHeight="1" spans="1:14">
      <c r="A30" s="86">
        <v>17</v>
      </c>
      <c r="B30" s="28">
        <v>243510916</v>
      </c>
      <c r="C30" s="28" t="s">
        <v>88</v>
      </c>
      <c r="D30" s="87" t="s">
        <v>61</v>
      </c>
      <c r="E30" s="87" t="s">
        <v>61</v>
      </c>
      <c r="F30" s="87" t="s">
        <v>61</v>
      </c>
      <c r="G30" s="87" t="s">
        <v>61</v>
      </c>
      <c r="H30" s="87" t="s">
        <v>61</v>
      </c>
      <c r="I30" s="87" t="s">
        <v>61</v>
      </c>
      <c r="J30" s="87" t="s">
        <v>61</v>
      </c>
      <c r="K30" s="87" t="s">
        <v>61</v>
      </c>
      <c r="L30" s="29">
        <v>8</v>
      </c>
      <c r="M30" s="31"/>
      <c r="N30" s="98"/>
    </row>
    <row r="31" ht="15.75" customHeight="1" spans="1:14">
      <c r="A31" s="86">
        <v>18</v>
      </c>
      <c r="B31" s="28">
        <v>243510114</v>
      </c>
      <c r="C31" s="28" t="s">
        <v>89</v>
      </c>
      <c r="D31" s="87" t="s">
        <v>61</v>
      </c>
      <c r="E31" s="87" t="s">
        <v>61</v>
      </c>
      <c r="F31" s="87" t="s">
        <v>61</v>
      </c>
      <c r="G31" s="87" t="s">
        <v>61</v>
      </c>
      <c r="H31" s="87" t="s">
        <v>61</v>
      </c>
      <c r="I31" s="87" t="s">
        <v>61</v>
      </c>
      <c r="J31" s="87" t="s">
        <v>61</v>
      </c>
      <c r="K31" s="87" t="s">
        <v>61</v>
      </c>
      <c r="L31" s="29">
        <v>8</v>
      </c>
      <c r="M31" s="31"/>
      <c r="N31" s="98"/>
    </row>
    <row r="32" ht="15.75" customHeight="1" spans="1:14">
      <c r="A32" s="86">
        <v>19</v>
      </c>
      <c r="B32" s="28">
        <v>243510349</v>
      </c>
      <c r="C32" s="28" t="s">
        <v>90</v>
      </c>
      <c r="D32" s="87" t="s">
        <v>61</v>
      </c>
      <c r="E32" s="87" t="s">
        <v>61</v>
      </c>
      <c r="F32" s="87" t="s">
        <v>61</v>
      </c>
      <c r="G32" s="87" t="s">
        <v>61</v>
      </c>
      <c r="H32" s="87" t="s">
        <v>61</v>
      </c>
      <c r="I32" s="87" t="s">
        <v>63</v>
      </c>
      <c r="J32" s="87" t="s">
        <v>63</v>
      </c>
      <c r="K32" s="87" t="s">
        <v>61</v>
      </c>
      <c r="L32" s="29">
        <v>5</v>
      </c>
      <c r="M32" s="31" t="s">
        <v>70</v>
      </c>
      <c r="N32" s="98"/>
    </row>
    <row r="33" ht="15.75" customHeight="1" spans="1:14">
      <c r="A33" s="86">
        <v>20</v>
      </c>
      <c r="B33" s="28">
        <v>243510380</v>
      </c>
      <c r="C33" s="28" t="s">
        <v>91</v>
      </c>
      <c r="D33" s="87" t="s">
        <v>61</v>
      </c>
      <c r="E33" s="87" t="s">
        <v>61</v>
      </c>
      <c r="F33" s="87" t="s">
        <v>61</v>
      </c>
      <c r="G33" s="87" t="s">
        <v>61</v>
      </c>
      <c r="H33" s="87" t="s">
        <v>61</v>
      </c>
      <c r="I33" s="87" t="s">
        <v>61</v>
      </c>
      <c r="J33" s="87" t="s">
        <v>61</v>
      </c>
      <c r="K33" s="87" t="s">
        <v>61</v>
      </c>
      <c r="L33" s="29">
        <v>8</v>
      </c>
      <c r="M33" s="31"/>
      <c r="N33" s="98"/>
    </row>
    <row r="34" ht="15.75" customHeight="1" spans="1:14">
      <c r="A34" s="86">
        <v>21</v>
      </c>
      <c r="B34" s="28">
        <v>243510617</v>
      </c>
      <c r="C34" s="28" t="s">
        <v>92</v>
      </c>
      <c r="D34" s="87" t="s">
        <v>61</v>
      </c>
      <c r="E34" s="87" t="s">
        <v>61</v>
      </c>
      <c r="F34" s="87" t="s">
        <v>61</v>
      </c>
      <c r="G34" s="87" t="s">
        <v>61</v>
      </c>
      <c r="H34" s="87" t="s">
        <v>61</v>
      </c>
      <c r="I34" s="87" t="s">
        <v>61</v>
      </c>
      <c r="J34" s="87" t="s">
        <v>61</v>
      </c>
      <c r="K34" s="87" t="s">
        <v>61</v>
      </c>
      <c r="L34" s="29">
        <v>8</v>
      </c>
      <c r="M34" s="31"/>
      <c r="N34" s="98"/>
    </row>
    <row r="35" ht="15.75" customHeight="1" spans="1:14">
      <c r="A35" s="86">
        <v>22</v>
      </c>
      <c r="B35" s="28">
        <v>243510799</v>
      </c>
      <c r="C35" s="28" t="s">
        <v>93</v>
      </c>
      <c r="D35" s="87" t="s">
        <v>61</v>
      </c>
      <c r="E35" s="87" t="s">
        <v>61</v>
      </c>
      <c r="F35" s="87" t="s">
        <v>61</v>
      </c>
      <c r="G35" s="87" t="s">
        <v>61</v>
      </c>
      <c r="H35" s="87" t="s">
        <v>61</v>
      </c>
      <c r="I35" s="87" t="s">
        <v>61</v>
      </c>
      <c r="J35" s="87" t="s">
        <v>61</v>
      </c>
      <c r="K35" s="87" t="s">
        <v>61</v>
      </c>
      <c r="L35" s="29">
        <v>8</v>
      </c>
      <c r="M35" s="31"/>
      <c r="N35" s="98"/>
    </row>
    <row r="36" ht="15.75" customHeight="1" spans="1:14">
      <c r="A36" s="86">
        <v>23</v>
      </c>
      <c r="B36" s="28">
        <v>243510345</v>
      </c>
      <c r="C36" s="28" t="s">
        <v>94</v>
      </c>
      <c r="D36" s="87" t="s">
        <v>61</v>
      </c>
      <c r="E36" s="87" t="s">
        <v>61</v>
      </c>
      <c r="F36" s="87" t="s">
        <v>61</v>
      </c>
      <c r="G36" s="87" t="s">
        <v>61</v>
      </c>
      <c r="H36" s="87" t="s">
        <v>61</v>
      </c>
      <c r="I36" s="87" t="s">
        <v>61</v>
      </c>
      <c r="J36" s="87" t="s">
        <v>61</v>
      </c>
      <c r="K36" s="87" t="s">
        <v>61</v>
      </c>
      <c r="L36" s="29">
        <v>8</v>
      </c>
      <c r="M36" s="31"/>
      <c r="N36" s="98"/>
    </row>
    <row r="37" ht="15.75" customHeight="1" spans="1:14">
      <c r="A37" s="86">
        <v>24</v>
      </c>
      <c r="B37" s="28">
        <v>243510042</v>
      </c>
      <c r="C37" s="28" t="s">
        <v>95</v>
      </c>
      <c r="D37" s="87" t="s">
        <v>61</v>
      </c>
      <c r="E37" s="87" t="s">
        <v>61</v>
      </c>
      <c r="F37" s="87" t="s">
        <v>61</v>
      </c>
      <c r="G37" s="87" t="s">
        <v>61</v>
      </c>
      <c r="H37" s="87" t="s">
        <v>61</v>
      </c>
      <c r="I37" s="87" t="s">
        <v>61</v>
      </c>
      <c r="J37" s="87" t="s">
        <v>61</v>
      </c>
      <c r="K37" s="87" t="s">
        <v>61</v>
      </c>
      <c r="L37" s="29">
        <v>8</v>
      </c>
      <c r="M37" s="31"/>
      <c r="N37" s="98"/>
    </row>
    <row r="38" ht="15.75" customHeight="1" spans="1:14">
      <c r="A38" s="86">
        <v>25</v>
      </c>
      <c r="B38" s="28">
        <v>243510036</v>
      </c>
      <c r="C38" s="28" t="s">
        <v>96</v>
      </c>
      <c r="D38" s="87" t="s">
        <v>61</v>
      </c>
      <c r="E38" s="87" t="s">
        <v>61</v>
      </c>
      <c r="F38" s="87" t="s">
        <v>61</v>
      </c>
      <c r="G38" s="87" t="s">
        <v>61</v>
      </c>
      <c r="H38" s="87" t="s">
        <v>61</v>
      </c>
      <c r="I38" s="87" t="s">
        <v>61</v>
      </c>
      <c r="J38" s="87" t="s">
        <v>61</v>
      </c>
      <c r="K38" s="87" t="s">
        <v>61</v>
      </c>
      <c r="L38" s="29">
        <v>8</v>
      </c>
      <c r="M38" s="31"/>
      <c r="N38" s="98"/>
    </row>
    <row r="39" ht="15.75" customHeight="1" spans="1:14">
      <c r="A39" s="86">
        <v>26</v>
      </c>
      <c r="B39" s="28">
        <v>243510415</v>
      </c>
      <c r="C39" s="28" t="s">
        <v>97</v>
      </c>
      <c r="D39" s="87" t="s">
        <v>61</v>
      </c>
      <c r="E39" s="87" t="s">
        <v>61</v>
      </c>
      <c r="F39" s="87" t="s">
        <v>61</v>
      </c>
      <c r="G39" s="87" t="s">
        <v>61</v>
      </c>
      <c r="H39" s="87" t="s">
        <v>61</v>
      </c>
      <c r="I39" s="87" t="s">
        <v>61</v>
      </c>
      <c r="J39" s="87" t="s">
        <v>61</v>
      </c>
      <c r="K39" s="87" t="s">
        <v>61</v>
      </c>
      <c r="L39" s="29">
        <v>8</v>
      </c>
      <c r="M39" s="31"/>
      <c r="N39" s="98"/>
    </row>
    <row r="40" ht="15.75" customHeight="1" spans="1:14">
      <c r="A40" s="86">
        <v>27</v>
      </c>
      <c r="B40" s="28">
        <v>243510440</v>
      </c>
      <c r="C40" s="28" t="s">
        <v>98</v>
      </c>
      <c r="D40" s="87" t="s">
        <v>61</v>
      </c>
      <c r="E40" s="87" t="s">
        <v>61</v>
      </c>
      <c r="F40" s="87" t="s">
        <v>61</v>
      </c>
      <c r="G40" s="87" t="s">
        <v>62</v>
      </c>
      <c r="H40" s="87" t="s">
        <v>61</v>
      </c>
      <c r="I40" s="87" t="s">
        <v>61</v>
      </c>
      <c r="J40" s="87" t="s">
        <v>62</v>
      </c>
      <c r="K40" s="87" t="s">
        <v>61</v>
      </c>
      <c r="L40" s="29">
        <v>6</v>
      </c>
      <c r="M40" s="31" t="s">
        <v>99</v>
      </c>
      <c r="N40" s="98"/>
    </row>
    <row r="41" ht="15.75" customHeight="1" spans="1:14">
      <c r="A41" s="86">
        <v>28</v>
      </c>
      <c r="B41" s="28">
        <v>243510714</v>
      </c>
      <c r="C41" s="28" t="s">
        <v>100</v>
      </c>
      <c r="D41" s="87" t="s">
        <v>61</v>
      </c>
      <c r="E41" s="87" t="s">
        <v>61</v>
      </c>
      <c r="F41" s="87" t="s">
        <v>61</v>
      </c>
      <c r="G41" s="87" t="s">
        <v>61</v>
      </c>
      <c r="H41" s="87" t="s">
        <v>61</v>
      </c>
      <c r="I41" s="87" t="s">
        <v>61</v>
      </c>
      <c r="J41" s="87" t="s">
        <v>61</v>
      </c>
      <c r="K41" s="87" t="s">
        <v>61</v>
      </c>
      <c r="L41" s="29">
        <v>8</v>
      </c>
      <c r="M41" s="31"/>
      <c r="N41" s="98"/>
    </row>
    <row r="42" ht="15.75" customHeight="1" spans="1:14">
      <c r="A42" s="86">
        <v>29</v>
      </c>
      <c r="B42" s="28">
        <v>243510731</v>
      </c>
      <c r="C42" s="28" t="s">
        <v>101</v>
      </c>
      <c r="D42" s="87" t="s">
        <v>61</v>
      </c>
      <c r="E42" s="87" t="s">
        <v>61</v>
      </c>
      <c r="F42" s="87" t="s">
        <v>61</v>
      </c>
      <c r="G42" s="87" t="s">
        <v>61</v>
      </c>
      <c r="H42" s="87" t="s">
        <v>61</v>
      </c>
      <c r="I42" s="87" t="s">
        <v>61</v>
      </c>
      <c r="J42" s="87" t="s">
        <v>61</v>
      </c>
      <c r="K42" s="87" t="s">
        <v>61</v>
      </c>
      <c r="L42" s="29">
        <v>8</v>
      </c>
      <c r="M42" s="31"/>
      <c r="N42" s="98"/>
    </row>
    <row r="43" ht="15.75" customHeight="1" spans="1:14">
      <c r="A43" s="86">
        <v>30</v>
      </c>
      <c r="B43" s="28">
        <v>243510423</v>
      </c>
      <c r="C43" s="28" t="s">
        <v>102</v>
      </c>
      <c r="D43" s="87" t="s">
        <v>61</v>
      </c>
      <c r="E43" s="87" t="s">
        <v>61</v>
      </c>
      <c r="F43" s="87" t="s">
        <v>61</v>
      </c>
      <c r="G43" s="87" t="s">
        <v>61</v>
      </c>
      <c r="H43" s="87" t="s">
        <v>61</v>
      </c>
      <c r="I43" s="87" t="s">
        <v>61</v>
      </c>
      <c r="J43" s="87" t="s">
        <v>61</v>
      </c>
      <c r="K43" s="87" t="s">
        <v>61</v>
      </c>
      <c r="L43" s="29">
        <v>8</v>
      </c>
      <c r="M43" s="31"/>
      <c r="N43" s="98"/>
    </row>
    <row r="44" ht="15.75" customHeight="1" spans="1:14">
      <c r="A44" s="86">
        <v>31</v>
      </c>
      <c r="B44" s="28">
        <v>243510901</v>
      </c>
      <c r="C44" s="28" t="s">
        <v>103</v>
      </c>
      <c r="D44" s="87" t="s">
        <v>61</v>
      </c>
      <c r="E44" s="87" t="s">
        <v>61</v>
      </c>
      <c r="F44" s="87" t="s">
        <v>61</v>
      </c>
      <c r="G44" s="87" t="s">
        <v>61</v>
      </c>
      <c r="H44" s="87" t="s">
        <v>61</v>
      </c>
      <c r="I44" s="87" t="s">
        <v>61</v>
      </c>
      <c r="J44" s="87" t="s">
        <v>61</v>
      </c>
      <c r="K44" s="87" t="s">
        <v>61</v>
      </c>
      <c r="L44" s="29">
        <v>8</v>
      </c>
      <c r="M44" s="31"/>
      <c r="N44" s="98"/>
    </row>
    <row r="45" ht="15.75" customHeight="1" spans="1:14">
      <c r="A45" s="86">
        <v>32</v>
      </c>
      <c r="B45" s="28">
        <v>243510654</v>
      </c>
      <c r="C45" s="28" t="s">
        <v>104</v>
      </c>
      <c r="D45" s="87" t="s">
        <v>61</v>
      </c>
      <c r="E45" s="87" t="s">
        <v>61</v>
      </c>
      <c r="F45" s="87" t="s">
        <v>61</v>
      </c>
      <c r="G45" s="87" t="s">
        <v>61</v>
      </c>
      <c r="H45" s="87" t="s">
        <v>61</v>
      </c>
      <c r="I45" s="87" t="s">
        <v>61</v>
      </c>
      <c r="J45" s="87" t="s">
        <v>61</v>
      </c>
      <c r="K45" s="87" t="s">
        <v>61</v>
      </c>
      <c r="L45" s="29">
        <v>8</v>
      </c>
      <c r="M45" s="31"/>
      <c r="N45" s="98"/>
    </row>
    <row r="46" ht="15.75" customHeight="1" spans="1:14">
      <c r="A46" s="86">
        <v>33</v>
      </c>
      <c r="B46" s="28">
        <v>243510524</v>
      </c>
      <c r="C46" s="28" t="s">
        <v>105</v>
      </c>
      <c r="D46" s="87" t="s">
        <v>61</v>
      </c>
      <c r="E46" s="87" t="s">
        <v>61</v>
      </c>
      <c r="F46" s="87" t="s">
        <v>61</v>
      </c>
      <c r="G46" s="89" t="s">
        <v>62</v>
      </c>
      <c r="H46" s="87" t="s">
        <v>61</v>
      </c>
      <c r="I46" s="89" t="s">
        <v>63</v>
      </c>
      <c r="J46" s="89" t="s">
        <v>63</v>
      </c>
      <c r="K46" s="87" t="s">
        <v>61</v>
      </c>
      <c r="L46" s="29">
        <v>5</v>
      </c>
      <c r="M46" s="31" t="s">
        <v>75</v>
      </c>
      <c r="N46" s="98"/>
    </row>
    <row r="47" ht="15.75" customHeight="1" spans="1:14">
      <c r="A47" s="86">
        <v>34</v>
      </c>
      <c r="B47" s="28">
        <v>243510465</v>
      </c>
      <c r="C47" s="28" t="s">
        <v>106</v>
      </c>
      <c r="D47" s="87" t="s">
        <v>61</v>
      </c>
      <c r="E47" s="87" t="s">
        <v>61</v>
      </c>
      <c r="F47" s="87" t="s">
        <v>61</v>
      </c>
      <c r="G47" s="87" t="s">
        <v>61</v>
      </c>
      <c r="H47" s="87" t="s">
        <v>61</v>
      </c>
      <c r="I47" s="87" t="s">
        <v>61</v>
      </c>
      <c r="J47" s="87" t="s">
        <v>61</v>
      </c>
      <c r="K47" s="87" t="s">
        <v>61</v>
      </c>
      <c r="L47" s="29">
        <v>8</v>
      </c>
      <c r="M47" s="31"/>
      <c r="N47" s="98"/>
    </row>
    <row r="48" ht="15.75" customHeight="1" spans="1:14">
      <c r="A48" s="86">
        <v>35</v>
      </c>
      <c r="B48" s="28">
        <v>243510120</v>
      </c>
      <c r="C48" s="28" t="s">
        <v>107</v>
      </c>
      <c r="D48" s="87" t="s">
        <v>61</v>
      </c>
      <c r="E48" s="87" t="s">
        <v>61</v>
      </c>
      <c r="F48" s="87" t="s">
        <v>61</v>
      </c>
      <c r="G48" s="87" t="s">
        <v>61</v>
      </c>
      <c r="H48" s="87" t="s">
        <v>61</v>
      </c>
      <c r="I48" s="87" t="s">
        <v>61</v>
      </c>
      <c r="J48" s="87" t="s">
        <v>61</v>
      </c>
      <c r="K48" s="87" t="s">
        <v>61</v>
      </c>
      <c r="L48" s="29">
        <v>8</v>
      </c>
      <c r="M48" s="31"/>
      <c r="N48" s="98"/>
    </row>
    <row r="49" ht="15.75" customHeight="1" spans="1:14">
      <c r="A49" s="86">
        <v>36</v>
      </c>
      <c r="B49" s="28">
        <v>243510232</v>
      </c>
      <c r="C49" s="39" t="s">
        <v>108</v>
      </c>
      <c r="D49" s="87" t="s">
        <v>63</v>
      </c>
      <c r="E49" s="87" t="s">
        <v>61</v>
      </c>
      <c r="F49" s="87" t="s">
        <v>61</v>
      </c>
      <c r="G49" s="87" t="s">
        <v>61</v>
      </c>
      <c r="H49" s="89" t="s">
        <v>63</v>
      </c>
      <c r="I49" s="87" t="s">
        <v>61</v>
      </c>
      <c r="J49" s="87" t="s">
        <v>61</v>
      </c>
      <c r="K49" s="87" t="s">
        <v>61</v>
      </c>
      <c r="L49" s="29">
        <v>6</v>
      </c>
      <c r="M49" s="31" t="s">
        <v>70</v>
      </c>
      <c r="N49" s="98"/>
    </row>
    <row r="50" ht="15.75" customHeight="1" spans="1:14">
      <c r="A50" s="90"/>
      <c r="B50" s="90"/>
      <c r="D50" s="91">
        <f t="shared" ref="D50:K50" si="0">COUNTIF(D14:D49,"Ö")</f>
        <v>35</v>
      </c>
      <c r="E50" s="91">
        <f t="shared" si="0"/>
        <v>36</v>
      </c>
      <c r="F50" s="91">
        <f t="shared" si="0"/>
        <v>33</v>
      </c>
      <c r="G50" s="91">
        <f t="shared" si="0"/>
        <v>31</v>
      </c>
      <c r="H50" s="91">
        <f t="shared" si="0"/>
        <v>34</v>
      </c>
      <c r="I50" s="91">
        <f t="shared" si="0"/>
        <v>29</v>
      </c>
      <c r="J50" s="91">
        <f t="shared" si="0"/>
        <v>32</v>
      </c>
      <c r="K50" s="91">
        <f t="shared" si="0"/>
        <v>36</v>
      </c>
      <c r="L50" s="90"/>
      <c r="M50" s="40"/>
      <c r="N50" s="98"/>
    </row>
    <row r="51" ht="15.75" customHeight="1" spans="1:14">
      <c r="A51" s="7"/>
      <c r="B51" s="90"/>
      <c r="N51" s="98"/>
    </row>
    <row r="52" ht="15.75" customHeight="1" spans="1:14">
      <c r="A52" s="7"/>
      <c r="B52" s="90"/>
      <c r="N52" s="98"/>
    </row>
    <row r="53" ht="15.75" customHeight="1" spans="1:15">
      <c r="A53" s="7"/>
      <c r="B53" s="90"/>
      <c r="C53" s="92" t="s">
        <v>44</v>
      </c>
      <c r="K53" s="7" t="s">
        <v>45</v>
      </c>
      <c r="L53" s="93"/>
      <c r="O53" s="100"/>
    </row>
    <row r="54" ht="15.75" customHeight="1" spans="1:18">
      <c r="A54" s="7"/>
      <c r="B54" s="90"/>
      <c r="C54" s="92" t="s">
        <v>46</v>
      </c>
      <c r="K54" s="92" t="s">
        <v>109</v>
      </c>
      <c r="L54" s="93"/>
      <c r="N54" s="7"/>
      <c r="O54" s="7"/>
      <c r="P54" s="7"/>
      <c r="Q54" s="7"/>
      <c r="R54" s="7"/>
    </row>
    <row r="55" ht="15.75" customHeight="1" spans="2:26">
      <c r="B55" s="90"/>
      <c r="C55" s="7"/>
      <c r="K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 spans="2:11">
      <c r="B56" s="90"/>
      <c r="C56" s="7"/>
      <c r="K56" s="7"/>
    </row>
    <row r="57" ht="15.75" customHeight="1" spans="2:14">
      <c r="B57" s="90"/>
      <c r="C57" s="7"/>
      <c r="K57" s="7"/>
      <c r="N57" s="7"/>
    </row>
    <row r="58" ht="15.75" customHeight="1" spans="2:11">
      <c r="B58" s="90"/>
      <c r="C58" s="7"/>
      <c r="D58" s="93"/>
      <c r="E58" s="93"/>
      <c r="F58" s="93"/>
      <c r="G58" s="93"/>
      <c r="H58" s="93"/>
      <c r="I58" s="93"/>
      <c r="J58" s="93"/>
      <c r="K58" s="7"/>
    </row>
    <row r="59" ht="15.75" customHeight="1" spans="2:11">
      <c r="B59" s="90"/>
      <c r="C59" s="5" t="s">
        <v>48</v>
      </c>
      <c r="D59" s="93"/>
      <c r="E59" s="93"/>
      <c r="F59" s="93"/>
      <c r="G59" s="93"/>
      <c r="H59" s="93"/>
      <c r="I59" s="93"/>
      <c r="J59" s="93"/>
      <c r="K59" s="5" t="s">
        <v>110</v>
      </c>
    </row>
    <row r="60" ht="15.75" customHeight="1" spans="2:2">
      <c r="B60" s="90"/>
    </row>
    <row r="61" ht="15.75" customHeight="1" spans="2:2">
      <c r="B61" s="90"/>
    </row>
    <row r="62" ht="15.75" customHeight="1" spans="2:2">
      <c r="B62" s="90"/>
    </row>
    <row r="63" ht="15.75" customHeight="1" spans="2:2">
      <c r="B63" s="90"/>
    </row>
    <row r="64" ht="15.75" customHeight="1" spans="2:2">
      <c r="B64" s="90"/>
    </row>
    <row r="65" ht="15.75" customHeight="1" spans="2:2">
      <c r="B65" s="90"/>
    </row>
    <row r="66" ht="15.75" customHeight="1" spans="2:2">
      <c r="B66" s="90"/>
    </row>
    <row r="67" ht="15.75" customHeight="1" spans="2:2">
      <c r="B67" s="90"/>
    </row>
    <row r="68" ht="15.75" customHeight="1" spans="2:2">
      <c r="B68" s="90"/>
    </row>
    <row r="69" ht="15.75" customHeight="1" spans="2:2">
      <c r="B69" s="90"/>
    </row>
    <row r="70" ht="15.75" customHeight="1" spans="2:2">
      <c r="B70" s="90"/>
    </row>
    <row r="71" ht="15.75" customHeight="1" spans="2:2">
      <c r="B71" s="90"/>
    </row>
    <row r="72" ht="15.75" customHeight="1" spans="2:2">
      <c r="B72" s="90"/>
    </row>
    <row r="73" ht="15.75" customHeight="1" spans="2:2">
      <c r="B73" s="90"/>
    </row>
    <row r="74" ht="15.75" customHeight="1" spans="2:2">
      <c r="B74" s="90"/>
    </row>
    <row r="75" ht="15.75" customHeight="1" spans="2:2">
      <c r="B75" s="90"/>
    </row>
    <row r="76" ht="15.75" customHeight="1" spans="2:2">
      <c r="B76" s="90"/>
    </row>
    <row r="77" ht="15.75" customHeight="1" spans="2:2">
      <c r="B77" s="90"/>
    </row>
    <row r="78" ht="15.75" customHeight="1" spans="2:2">
      <c r="B78" s="90"/>
    </row>
    <row r="79" ht="15.75" customHeight="1" spans="2:2">
      <c r="B79" s="90"/>
    </row>
    <row r="80" ht="15.75" customHeight="1" spans="2:2">
      <c r="B80" s="90"/>
    </row>
    <row r="81" ht="15.75" customHeight="1" spans="2:2">
      <c r="B81" s="90"/>
    </row>
    <row r="82" ht="15.75" customHeight="1" spans="2:2">
      <c r="B82" s="90"/>
    </row>
    <row r="83" ht="15.75" customHeight="1" spans="2:2">
      <c r="B83" s="90"/>
    </row>
    <row r="84" ht="15.75" customHeight="1" spans="2:2">
      <c r="B84" s="90"/>
    </row>
    <row r="85" ht="15.75" customHeight="1" spans="2:2">
      <c r="B85" s="90"/>
    </row>
    <row r="86" ht="15.75" customHeight="1" spans="2:2">
      <c r="B86" s="90"/>
    </row>
    <row r="87" ht="15.75" customHeight="1" spans="2:2">
      <c r="B87" s="90"/>
    </row>
    <row r="88" ht="15.75" customHeight="1" spans="2:2">
      <c r="B88" s="90"/>
    </row>
    <row r="89" ht="15.75" customHeight="1" spans="2:2">
      <c r="B89" s="90"/>
    </row>
    <row r="90" ht="15.75" customHeight="1" spans="2:2">
      <c r="B90" s="90"/>
    </row>
    <row r="91" ht="15.75" customHeight="1" spans="2:2">
      <c r="B91" s="90"/>
    </row>
    <row r="92" ht="15.75" customHeight="1" spans="2:2">
      <c r="B92" s="90"/>
    </row>
    <row r="93" ht="15.75" customHeight="1" spans="2:2">
      <c r="B93" s="90"/>
    </row>
    <row r="94" ht="15.75" customHeight="1" spans="2:2">
      <c r="B94" s="90"/>
    </row>
    <row r="95" ht="15.75" customHeight="1" spans="2:2">
      <c r="B95" s="90"/>
    </row>
    <row r="96" ht="15.75" customHeight="1" spans="2:2">
      <c r="B96" s="90"/>
    </row>
    <row r="97" ht="15.75" customHeight="1" spans="2:2">
      <c r="B97" s="90"/>
    </row>
    <row r="98" ht="15.75" customHeight="1" spans="2:2">
      <c r="B98" s="90"/>
    </row>
    <row r="99" ht="15.75" customHeight="1" spans="2:2">
      <c r="B99" s="90"/>
    </row>
    <row r="100" ht="15.75" customHeight="1" spans="2:2">
      <c r="B100" s="90"/>
    </row>
    <row r="101" ht="15.75" customHeight="1" spans="2:2">
      <c r="B101" s="90"/>
    </row>
    <row r="102" ht="15.75" customHeight="1" spans="2:2">
      <c r="B102" s="90"/>
    </row>
    <row r="103" ht="15.75" customHeight="1" spans="2:2">
      <c r="B103" s="90"/>
    </row>
    <row r="104" ht="15.75" customHeight="1" spans="2:2">
      <c r="B104" s="90"/>
    </row>
    <row r="105" ht="15.75" customHeight="1" spans="2:2">
      <c r="B105" s="90"/>
    </row>
    <row r="106" ht="15.75" customHeight="1" spans="2:2">
      <c r="B106" s="90"/>
    </row>
    <row r="107" ht="15.75" customHeight="1" spans="2:2">
      <c r="B107" s="90"/>
    </row>
    <row r="108" ht="15.75" customHeight="1" spans="2:2">
      <c r="B108" s="90"/>
    </row>
    <row r="109" ht="15.75" customHeight="1" spans="2:2">
      <c r="B109" s="90"/>
    </row>
    <row r="110" ht="15.75" customHeight="1" spans="2:2">
      <c r="B110" s="90"/>
    </row>
    <row r="111" ht="15.75" customHeight="1" spans="2:2">
      <c r="B111" s="90"/>
    </row>
    <row r="112" ht="15.75" customHeight="1" spans="2:2">
      <c r="B112" s="90"/>
    </row>
    <row r="113" ht="15.75" customHeight="1" spans="2:2">
      <c r="B113" s="90"/>
    </row>
    <row r="114" ht="15.75" customHeight="1" spans="2:2">
      <c r="B114" s="90"/>
    </row>
    <row r="115" ht="15.75" customHeight="1" spans="2:2">
      <c r="B115" s="90"/>
    </row>
    <row r="116" ht="15.75" customHeight="1" spans="2:2">
      <c r="B116" s="90"/>
    </row>
    <row r="117" ht="15.75" customHeight="1" spans="2:2">
      <c r="B117" s="90"/>
    </row>
    <row r="118" ht="15.75" customHeight="1" spans="2:2">
      <c r="B118" s="90"/>
    </row>
    <row r="119" ht="15.75" customHeight="1" spans="2:2">
      <c r="B119" s="90"/>
    </row>
    <row r="120" ht="15.75" customHeight="1" spans="2:2">
      <c r="B120" s="90"/>
    </row>
    <row r="121" ht="15.75" customHeight="1" spans="2:2">
      <c r="B121" s="90"/>
    </row>
    <row r="122" ht="15.75" customHeight="1" spans="2:2">
      <c r="B122" s="90"/>
    </row>
    <row r="123" ht="15.75" customHeight="1" spans="2:2">
      <c r="B123" s="90"/>
    </row>
    <row r="124" ht="15.75" customHeight="1" spans="2:2">
      <c r="B124" s="90"/>
    </row>
    <row r="125" ht="15.75" customHeight="1" spans="2:2">
      <c r="B125" s="90"/>
    </row>
    <row r="126" ht="15.75" customHeight="1" spans="2:2">
      <c r="B126" s="90"/>
    </row>
    <row r="127" ht="15.75" customHeight="1" spans="2:2">
      <c r="B127" s="90"/>
    </row>
    <row r="128" ht="15.75" customHeight="1" spans="2:2">
      <c r="B128" s="90"/>
    </row>
    <row r="129" ht="15.75" customHeight="1" spans="2:2">
      <c r="B129" s="90"/>
    </row>
    <row r="130" ht="15.75" customHeight="1" spans="2:2">
      <c r="B130" s="90"/>
    </row>
    <row r="131" ht="15.75" customHeight="1" spans="2:2">
      <c r="B131" s="90"/>
    </row>
    <row r="132" ht="15.75" customHeight="1" spans="2:2">
      <c r="B132" s="90"/>
    </row>
    <row r="133" ht="15.75" customHeight="1" spans="2:2">
      <c r="B133" s="90"/>
    </row>
    <row r="134" ht="15.75" customHeight="1" spans="2:2">
      <c r="B134" s="90"/>
    </row>
    <row r="135" ht="15.75" customHeight="1" spans="2:2">
      <c r="B135" s="90"/>
    </row>
    <row r="136" ht="15.75" customHeight="1" spans="2:2">
      <c r="B136" s="90"/>
    </row>
    <row r="137" ht="15.75" customHeight="1" spans="2:2">
      <c r="B137" s="90"/>
    </row>
    <row r="138" ht="15.75" customHeight="1" spans="2:2">
      <c r="B138" s="90"/>
    </row>
    <row r="139" ht="15.75" customHeight="1" spans="2:2">
      <c r="B139" s="90"/>
    </row>
    <row r="140" ht="15.75" customHeight="1" spans="2:2">
      <c r="B140" s="90"/>
    </row>
    <row r="141" ht="15.75" customHeight="1" spans="2:2">
      <c r="B141" s="90"/>
    </row>
    <row r="142" ht="15.75" customHeight="1" spans="2:2">
      <c r="B142" s="90"/>
    </row>
    <row r="143" ht="15.75" customHeight="1" spans="2:2">
      <c r="B143" s="90"/>
    </row>
    <row r="144" ht="15.75" customHeight="1" spans="2:2">
      <c r="B144" s="90"/>
    </row>
    <row r="145" ht="15.75" customHeight="1" spans="2:2">
      <c r="B145" s="90"/>
    </row>
    <row r="146" ht="15.75" customHeight="1" spans="2:2">
      <c r="B146" s="90"/>
    </row>
    <row r="147" ht="15.75" customHeight="1" spans="2:2">
      <c r="B147" s="90"/>
    </row>
    <row r="148" ht="15.75" customHeight="1" spans="2:2">
      <c r="B148" s="90"/>
    </row>
    <row r="149" ht="15.75" customHeight="1" spans="2:2">
      <c r="B149" s="90"/>
    </row>
    <row r="150" ht="15.75" customHeight="1" spans="2:2">
      <c r="B150" s="90"/>
    </row>
    <row r="151" ht="15.75" customHeight="1" spans="2:2">
      <c r="B151" s="90"/>
    </row>
    <row r="152" ht="15.75" customHeight="1" spans="2:2">
      <c r="B152" s="90"/>
    </row>
    <row r="153" ht="15.75" customHeight="1" spans="2:2">
      <c r="B153" s="90"/>
    </row>
    <row r="154" ht="15.75" customHeight="1" spans="2:2">
      <c r="B154" s="90"/>
    </row>
    <row r="155" ht="15.75" customHeight="1" spans="2:2">
      <c r="B155" s="90"/>
    </row>
    <row r="156" ht="15.75" customHeight="1" spans="2:2">
      <c r="B156" s="90"/>
    </row>
    <row r="157" ht="15.75" customHeight="1" spans="2:2">
      <c r="B157" s="90"/>
    </row>
    <row r="158" ht="15.75" customHeight="1" spans="2:2">
      <c r="B158" s="90"/>
    </row>
    <row r="159" ht="15.75" customHeight="1" spans="2:2">
      <c r="B159" s="90"/>
    </row>
    <row r="160" ht="15.75" customHeight="1" spans="2:2">
      <c r="B160" s="90"/>
    </row>
    <row r="161" ht="15.75" customHeight="1" spans="2:2">
      <c r="B161" s="90"/>
    </row>
    <row r="162" ht="15.75" customHeight="1" spans="2:2">
      <c r="B162" s="90"/>
    </row>
    <row r="163" ht="15.75" customHeight="1" spans="2:2">
      <c r="B163" s="90"/>
    </row>
    <row r="164" ht="15.75" customHeight="1" spans="2:2">
      <c r="B164" s="90"/>
    </row>
    <row r="165" ht="15.75" customHeight="1" spans="2:2">
      <c r="B165" s="90"/>
    </row>
    <row r="166" ht="15.75" customHeight="1" spans="2:2">
      <c r="B166" s="90"/>
    </row>
    <row r="167" ht="15.75" customHeight="1" spans="2:2">
      <c r="B167" s="90"/>
    </row>
    <row r="168" ht="15.75" customHeight="1" spans="2:2">
      <c r="B168" s="90"/>
    </row>
    <row r="169" ht="15.75" customHeight="1" spans="2:2">
      <c r="B169" s="90"/>
    </row>
    <row r="170" ht="15.75" customHeight="1" spans="2:2">
      <c r="B170" s="90"/>
    </row>
    <row r="171" ht="15.75" customHeight="1" spans="2:2">
      <c r="B171" s="90"/>
    </row>
    <row r="172" ht="15.75" customHeight="1" spans="2:2">
      <c r="B172" s="90"/>
    </row>
    <row r="173" ht="15.75" customHeight="1" spans="2:2">
      <c r="B173" s="90"/>
    </row>
    <row r="174" ht="15.75" customHeight="1" spans="2:2">
      <c r="B174" s="90"/>
    </row>
    <row r="175" ht="15.75" customHeight="1" spans="2:2">
      <c r="B175" s="90"/>
    </row>
    <row r="176" ht="15.75" customHeight="1" spans="2:2">
      <c r="B176" s="90"/>
    </row>
    <row r="177" ht="15.75" customHeight="1" spans="2:2">
      <c r="B177" s="90"/>
    </row>
    <row r="178" ht="15.75" customHeight="1" spans="2:2">
      <c r="B178" s="90"/>
    </row>
    <row r="179" ht="15.75" customHeight="1" spans="2:2">
      <c r="B179" s="90"/>
    </row>
    <row r="180" ht="15.75" customHeight="1" spans="2:2">
      <c r="B180" s="90"/>
    </row>
    <row r="181" ht="15.75" customHeight="1" spans="2:2">
      <c r="B181" s="90"/>
    </row>
    <row r="182" ht="15.75" customHeight="1" spans="2:2">
      <c r="B182" s="90"/>
    </row>
    <row r="183" ht="15.75" customHeight="1" spans="2:2">
      <c r="B183" s="90"/>
    </row>
    <row r="184" ht="15.75" customHeight="1" spans="2:2">
      <c r="B184" s="90"/>
    </row>
    <row r="185" ht="15.75" customHeight="1" spans="2:2">
      <c r="B185" s="90"/>
    </row>
    <row r="186" ht="15.75" customHeight="1" spans="2:2">
      <c r="B186" s="90"/>
    </row>
    <row r="187" ht="15.75" customHeight="1" spans="2:2">
      <c r="B187" s="90"/>
    </row>
    <row r="188" ht="15.75" customHeight="1" spans="2:2">
      <c r="B188" s="90"/>
    </row>
    <row r="189" ht="15.75" customHeight="1" spans="2:2">
      <c r="B189" s="90"/>
    </row>
    <row r="190" ht="15.75" customHeight="1" spans="2:2">
      <c r="B190" s="90"/>
    </row>
    <row r="191" ht="15.75" customHeight="1" spans="2:2">
      <c r="B191" s="90"/>
    </row>
    <row r="192" ht="15.75" customHeight="1" spans="2:2">
      <c r="B192" s="90"/>
    </row>
    <row r="193" ht="15.75" customHeight="1" spans="2:2">
      <c r="B193" s="90"/>
    </row>
    <row r="194" ht="15.75" customHeight="1" spans="2:2">
      <c r="B194" s="90"/>
    </row>
    <row r="195" ht="15.75" customHeight="1" spans="2:2">
      <c r="B195" s="90"/>
    </row>
    <row r="196" ht="15.75" customHeight="1" spans="2:2">
      <c r="B196" s="90"/>
    </row>
    <row r="197" ht="15.75" customHeight="1" spans="2:2">
      <c r="B197" s="90"/>
    </row>
    <row r="198" ht="15.75" customHeight="1" spans="2:2">
      <c r="B198" s="90"/>
    </row>
    <row r="199" ht="15.75" customHeight="1" spans="2:2">
      <c r="B199" s="90"/>
    </row>
    <row r="200" ht="15.75" customHeight="1" spans="2:2">
      <c r="B200" s="90"/>
    </row>
    <row r="201" ht="15.75" customHeight="1" spans="2:2">
      <c r="B201" s="90"/>
    </row>
    <row r="202" ht="15.75" customHeight="1" spans="2:2">
      <c r="B202" s="90"/>
    </row>
    <row r="203" ht="15.75" customHeight="1" spans="2:2">
      <c r="B203" s="90"/>
    </row>
    <row r="204" ht="15.75" customHeight="1" spans="2:2">
      <c r="B204" s="90"/>
    </row>
    <row r="205" ht="15.75" customHeight="1" spans="2:2">
      <c r="B205" s="90"/>
    </row>
    <row r="206" ht="15.75" customHeight="1" spans="2:2">
      <c r="B206" s="90"/>
    </row>
    <row r="207" ht="15.75" customHeight="1" spans="2:2">
      <c r="B207" s="90"/>
    </row>
    <row r="208" ht="15.75" customHeight="1" spans="2:2">
      <c r="B208" s="90"/>
    </row>
    <row r="209" ht="15.75" customHeight="1" spans="2:2">
      <c r="B209" s="90"/>
    </row>
    <row r="210" ht="15.75" customHeight="1" spans="2:2">
      <c r="B210" s="90"/>
    </row>
    <row r="211" ht="15.75" customHeight="1" spans="2:2">
      <c r="B211" s="90"/>
    </row>
    <row r="212" ht="15.75" customHeight="1" spans="2:2">
      <c r="B212" s="90"/>
    </row>
    <row r="213" ht="15.75" customHeight="1" spans="2:2">
      <c r="B213" s="90"/>
    </row>
    <row r="214" ht="15.75" customHeight="1" spans="2:2">
      <c r="B214" s="90"/>
    </row>
    <row r="215" ht="15.75" customHeight="1" spans="2:2">
      <c r="B215" s="90"/>
    </row>
    <row r="216" ht="15.75" customHeight="1" spans="2:2">
      <c r="B216" s="90"/>
    </row>
    <row r="217" ht="15.75" customHeight="1" spans="2:2">
      <c r="B217" s="90"/>
    </row>
    <row r="218" ht="15.75" customHeight="1" spans="2:2">
      <c r="B218" s="90"/>
    </row>
    <row r="219" ht="15.75" customHeight="1" spans="2:2">
      <c r="B219" s="90"/>
    </row>
    <row r="220" ht="15.75" customHeight="1" spans="2:2">
      <c r="B220" s="90"/>
    </row>
    <row r="221" ht="15.75" customHeight="1" spans="2:2">
      <c r="B221" s="90"/>
    </row>
    <row r="222" ht="15.75" customHeight="1" spans="2:2">
      <c r="B222" s="90"/>
    </row>
    <row r="223" ht="15.75" customHeight="1" spans="2:2">
      <c r="B223" s="90"/>
    </row>
    <row r="224" ht="15.75" customHeight="1" spans="2:2">
      <c r="B224" s="90"/>
    </row>
    <row r="225" ht="15.75" customHeight="1" spans="2:2">
      <c r="B225" s="90"/>
    </row>
    <row r="226" ht="15.75" customHeight="1" spans="2:2">
      <c r="B226" s="90"/>
    </row>
    <row r="227" ht="15.75" customHeight="1" spans="2:2">
      <c r="B227" s="90"/>
    </row>
    <row r="228" ht="15.75" customHeight="1" spans="2:2">
      <c r="B228" s="90"/>
    </row>
    <row r="229" ht="15.75" customHeight="1" spans="2:2">
      <c r="B229" s="90"/>
    </row>
    <row r="230" ht="15.75" customHeight="1" spans="2:2">
      <c r="B230" s="90"/>
    </row>
    <row r="231" ht="15.75" customHeight="1" spans="2:2">
      <c r="B231" s="90"/>
    </row>
    <row r="232" ht="15.75" customHeight="1" spans="2:2">
      <c r="B232" s="90"/>
    </row>
    <row r="233" ht="15.75" customHeight="1" spans="2:2">
      <c r="B233" s="90"/>
    </row>
    <row r="234" ht="15.75" customHeight="1" spans="2:2">
      <c r="B234" s="90"/>
    </row>
    <row r="235" ht="15.75" customHeight="1" spans="2:2">
      <c r="B235" s="90"/>
    </row>
    <row r="236" ht="15.75" customHeight="1" spans="2:2">
      <c r="B236" s="90"/>
    </row>
    <row r="237" ht="15.75" customHeight="1" spans="2:2">
      <c r="B237" s="90"/>
    </row>
    <row r="238" ht="15.75" customHeight="1" spans="2:2">
      <c r="B238" s="90"/>
    </row>
    <row r="239" ht="15.75" customHeight="1" spans="2:2">
      <c r="B239" s="90"/>
    </row>
    <row r="240" ht="15.75" customHeight="1" spans="2:2">
      <c r="B240" s="90"/>
    </row>
    <row r="241" ht="15.75" customHeight="1" spans="2:2">
      <c r="B241" s="90"/>
    </row>
    <row r="242" ht="15.75" customHeight="1" spans="2:2">
      <c r="B242" s="90"/>
    </row>
    <row r="243" ht="15.75" customHeight="1" spans="2:2">
      <c r="B243" s="90"/>
    </row>
    <row r="244" ht="15.75" customHeight="1" spans="2:2">
      <c r="B244" s="90"/>
    </row>
    <row r="245" ht="15.75" customHeight="1" spans="2:2">
      <c r="B245" s="90"/>
    </row>
    <row r="246" ht="15.75" customHeight="1" spans="2:2">
      <c r="B246" s="90"/>
    </row>
    <row r="247" ht="15.75" customHeight="1" spans="2:2">
      <c r="B247" s="90"/>
    </row>
    <row r="248" ht="15.75" customHeight="1" spans="2:2">
      <c r="B248" s="90"/>
    </row>
    <row r="249" ht="15.75" customHeight="1" spans="2:2">
      <c r="B249" s="90"/>
    </row>
    <row r="250" ht="15.75" customHeight="1" spans="2:2">
      <c r="B250" s="90"/>
    </row>
    <row r="251" ht="15.75" customHeight="1" spans="2:2">
      <c r="B251" s="90"/>
    </row>
    <row r="252" ht="15.75" customHeight="1" spans="2:2">
      <c r="B252" s="90"/>
    </row>
    <row r="253" ht="15.75" customHeight="1" spans="2:2">
      <c r="B253" s="90"/>
    </row>
    <row r="254" ht="15.75" customHeight="1" spans="2:2">
      <c r="B254" s="90"/>
    </row>
    <row r="255" ht="15.75" customHeight="1" spans="2:2">
      <c r="B255" s="90"/>
    </row>
    <row r="256" ht="15.75" customHeight="1" spans="2:2">
      <c r="B256" s="90"/>
    </row>
    <row r="257" ht="15.75" customHeight="1" spans="2:2">
      <c r="B257" s="90"/>
    </row>
    <row r="258" ht="15.75" customHeight="1" spans="2:2">
      <c r="B258" s="90"/>
    </row>
    <row r="259" ht="15.75" customHeight="1" spans="2:2">
      <c r="B259" s="90"/>
    </row>
    <row r="260" ht="15.75" customHeight="1" spans="2:2">
      <c r="B260" s="90"/>
    </row>
    <row r="261" ht="15.75" customHeight="1" spans="2:2">
      <c r="B261" s="90"/>
    </row>
    <row r="262" ht="15.75" customHeight="1" spans="2:2">
      <c r="B262" s="90"/>
    </row>
    <row r="263" ht="15.75" customHeight="1" spans="2:2">
      <c r="B263" s="90"/>
    </row>
    <row r="264" ht="15.75" customHeight="1" spans="2:2">
      <c r="B264" s="90"/>
    </row>
    <row r="265" ht="15.75" customHeight="1" spans="2:2">
      <c r="B265" s="90"/>
    </row>
    <row r="266" ht="15.75" customHeight="1" spans="2:2">
      <c r="B266" s="90"/>
    </row>
    <row r="267" ht="15.75" customHeight="1" spans="2:2">
      <c r="B267" s="90"/>
    </row>
    <row r="268" ht="15.75" customHeight="1" spans="2:2">
      <c r="B268" s="90"/>
    </row>
    <row r="269" ht="15.75" customHeight="1" spans="2:2">
      <c r="B269" s="90"/>
    </row>
    <row r="270" ht="15.75" customHeight="1" spans="2:2">
      <c r="B270" s="90"/>
    </row>
    <row r="271" ht="15.75" customHeight="1" spans="2:2">
      <c r="B271" s="90"/>
    </row>
    <row r="272" ht="15.75" customHeight="1" spans="2:2">
      <c r="B272" s="90"/>
    </row>
    <row r="273" ht="15.75" customHeight="1" spans="2:2">
      <c r="B273" s="90"/>
    </row>
    <row r="274" ht="15.75" customHeight="1" spans="2:2">
      <c r="B274" s="90"/>
    </row>
    <row r="275" ht="15.75" customHeight="1" spans="2:2">
      <c r="B275" s="90"/>
    </row>
    <row r="276" ht="15.75" customHeight="1" spans="2:2">
      <c r="B276" s="90"/>
    </row>
    <row r="277" ht="15.75" customHeight="1" spans="2:2">
      <c r="B277" s="90"/>
    </row>
    <row r="278" ht="15.75" customHeight="1" spans="2:2">
      <c r="B278" s="90"/>
    </row>
    <row r="279" ht="15.75" customHeight="1" spans="2:2">
      <c r="B279" s="90"/>
    </row>
    <row r="280" ht="15.75" customHeight="1" spans="2:2">
      <c r="B280" s="90"/>
    </row>
    <row r="281" ht="15.75" customHeight="1" spans="2:2">
      <c r="B281" s="90"/>
    </row>
    <row r="282" ht="15.75" customHeight="1" spans="2:2">
      <c r="B282" s="90"/>
    </row>
    <row r="283" ht="15.75" customHeight="1" spans="2:2">
      <c r="B283" s="90"/>
    </row>
    <row r="284" ht="15.75" customHeight="1" spans="2:2">
      <c r="B284" s="90"/>
    </row>
    <row r="285" ht="15.75" customHeight="1" spans="2:2">
      <c r="B285" s="90"/>
    </row>
    <row r="286" ht="15.75" customHeight="1" spans="2:2">
      <c r="B286" s="90"/>
    </row>
    <row r="287" ht="15.75" customHeight="1" spans="2:2">
      <c r="B287" s="90"/>
    </row>
    <row r="288" ht="15.75" customHeight="1" spans="2:2">
      <c r="B288" s="90"/>
    </row>
    <row r="289" ht="15.75" customHeight="1" spans="2:2">
      <c r="B289" s="90"/>
    </row>
    <row r="290" ht="15.75" customHeight="1" spans="2:2">
      <c r="B290" s="90"/>
    </row>
    <row r="291" ht="15.75" customHeight="1" spans="2:2">
      <c r="B291" s="90"/>
    </row>
    <row r="292" ht="15.75" customHeight="1" spans="2:2">
      <c r="B292" s="90"/>
    </row>
    <row r="293" ht="15.75" customHeight="1" spans="2:2">
      <c r="B293" s="90"/>
    </row>
    <row r="294" ht="15.75" customHeight="1" spans="2:2">
      <c r="B294" s="90"/>
    </row>
    <row r="295" ht="15.75" customHeight="1" spans="2:2">
      <c r="B295" s="90"/>
    </row>
    <row r="296" ht="15.75" customHeight="1" spans="2:2">
      <c r="B296" s="90"/>
    </row>
    <row r="297" ht="15.75" customHeight="1" spans="2:2">
      <c r="B297" s="90"/>
    </row>
    <row r="298" ht="15.75" customHeight="1" spans="2:2">
      <c r="B298" s="90"/>
    </row>
    <row r="299" ht="15.75" customHeight="1" spans="2:2">
      <c r="B299" s="90"/>
    </row>
    <row r="300" ht="15.75" customHeight="1" spans="2:2">
      <c r="B300" s="90"/>
    </row>
    <row r="301" ht="15.75" customHeight="1" spans="2:2">
      <c r="B301" s="90"/>
    </row>
    <row r="302" ht="15.75" customHeight="1" spans="2:2">
      <c r="B302" s="90"/>
    </row>
    <row r="303" ht="15.75" customHeight="1" spans="2:2">
      <c r="B303" s="90"/>
    </row>
    <row r="304" ht="15.75" customHeight="1" spans="2:2">
      <c r="B304" s="90"/>
    </row>
    <row r="305" ht="15.75" customHeight="1" spans="2:2">
      <c r="B305" s="90"/>
    </row>
    <row r="306" ht="15.75" customHeight="1" spans="2:2">
      <c r="B306" s="90"/>
    </row>
    <row r="307" ht="15.75" customHeight="1" spans="2:2">
      <c r="B307" s="90"/>
    </row>
    <row r="308" ht="15.75" customHeight="1" spans="2:2">
      <c r="B308" s="90"/>
    </row>
    <row r="309" ht="15.75" customHeight="1" spans="2:2">
      <c r="B309" s="90"/>
    </row>
    <row r="310" ht="15.75" customHeight="1" spans="2:2">
      <c r="B310" s="90"/>
    </row>
    <row r="311" ht="15.75" customHeight="1" spans="2:2">
      <c r="B311" s="90"/>
    </row>
    <row r="312" ht="15.75" customHeight="1" spans="2:2">
      <c r="B312" s="90"/>
    </row>
    <row r="313" ht="15.75" customHeight="1" spans="2:2">
      <c r="B313" s="90"/>
    </row>
    <row r="314" ht="15.75" customHeight="1" spans="2:2">
      <c r="B314" s="90"/>
    </row>
    <row r="315" ht="15.75" customHeight="1" spans="2:2">
      <c r="B315" s="90"/>
    </row>
    <row r="316" ht="15.75" customHeight="1" spans="2:2">
      <c r="B316" s="90"/>
    </row>
    <row r="317" ht="15.75" customHeight="1" spans="2:2">
      <c r="B317" s="90"/>
    </row>
    <row r="318" ht="15.75" customHeight="1" spans="2:2">
      <c r="B318" s="90"/>
    </row>
    <row r="319" ht="15.75" customHeight="1" spans="2:2">
      <c r="B319" s="90"/>
    </row>
    <row r="320" ht="15.75" customHeight="1" spans="2:2">
      <c r="B320" s="90"/>
    </row>
    <row r="321" ht="15.75" customHeight="1" spans="2:2">
      <c r="B321" s="90"/>
    </row>
    <row r="322" ht="15.75" customHeight="1" spans="2:2">
      <c r="B322" s="90"/>
    </row>
    <row r="323" ht="15.75" customHeight="1" spans="2:2">
      <c r="B323" s="90"/>
    </row>
    <row r="324" ht="15.75" customHeight="1" spans="2:2">
      <c r="B324" s="90"/>
    </row>
    <row r="325" ht="15.75" customHeight="1" spans="2:2">
      <c r="B325" s="90"/>
    </row>
    <row r="326" ht="15.75" customHeight="1" spans="2:2">
      <c r="B326" s="90"/>
    </row>
    <row r="327" ht="15.75" customHeight="1" spans="2:2">
      <c r="B327" s="90"/>
    </row>
    <row r="328" ht="15.75" customHeight="1" spans="2:2">
      <c r="B328" s="90"/>
    </row>
    <row r="329" ht="15.75" customHeight="1" spans="2:2">
      <c r="B329" s="90"/>
    </row>
    <row r="330" ht="15.75" customHeight="1" spans="2:2">
      <c r="B330" s="90"/>
    </row>
    <row r="331" ht="15.75" customHeight="1" spans="2:2">
      <c r="B331" s="90"/>
    </row>
    <row r="332" ht="15.75" customHeight="1" spans="2:2">
      <c r="B332" s="90"/>
    </row>
    <row r="333" ht="15.75" customHeight="1" spans="2:2">
      <c r="B333" s="90"/>
    </row>
    <row r="334" ht="15.75" customHeight="1" spans="2:2">
      <c r="B334" s="90"/>
    </row>
    <row r="335" ht="15.75" customHeight="1" spans="2:2">
      <c r="B335" s="90"/>
    </row>
    <row r="336" ht="15.75" customHeight="1" spans="2:2">
      <c r="B336" s="90"/>
    </row>
    <row r="337" ht="15.75" customHeight="1" spans="2:2">
      <c r="B337" s="90"/>
    </row>
    <row r="338" ht="15.75" customHeight="1" spans="2:2">
      <c r="B338" s="90"/>
    </row>
    <row r="339" ht="15.75" customHeight="1" spans="2:2">
      <c r="B339" s="90"/>
    </row>
    <row r="340" ht="15.75" customHeight="1" spans="2:2">
      <c r="B340" s="90"/>
    </row>
    <row r="341" ht="15.75" customHeight="1" spans="2:2">
      <c r="B341" s="90"/>
    </row>
    <row r="342" ht="15.75" customHeight="1" spans="2:2">
      <c r="B342" s="90"/>
    </row>
    <row r="343" ht="15.75" customHeight="1" spans="2:2">
      <c r="B343" s="90"/>
    </row>
    <row r="344" ht="15.75" customHeight="1" spans="2:2">
      <c r="B344" s="90"/>
    </row>
    <row r="345" ht="15.75" customHeight="1" spans="2:2">
      <c r="B345" s="90"/>
    </row>
    <row r="346" ht="15.75" customHeight="1" spans="2:2">
      <c r="B346" s="90"/>
    </row>
    <row r="347" ht="15.75" customHeight="1" spans="2:2">
      <c r="B347" s="90"/>
    </row>
    <row r="348" ht="15.75" customHeight="1" spans="2:2">
      <c r="B348" s="90"/>
    </row>
    <row r="349" ht="15.75" customHeight="1" spans="2:2">
      <c r="B349" s="90"/>
    </row>
    <row r="350" ht="15.75" customHeight="1" spans="2:2">
      <c r="B350" s="90"/>
    </row>
    <row r="351" ht="15.75" customHeight="1" spans="2:2">
      <c r="B351" s="90"/>
    </row>
    <row r="352" ht="15.75" customHeight="1" spans="2:2">
      <c r="B352" s="90"/>
    </row>
    <row r="353" ht="15.75" customHeight="1" spans="2:2">
      <c r="B353" s="90"/>
    </row>
    <row r="354" ht="15.75" customHeight="1" spans="2:2">
      <c r="B354" s="90"/>
    </row>
    <row r="355" ht="15.75" customHeight="1" spans="2:2">
      <c r="B355" s="90"/>
    </row>
    <row r="356" ht="15.75" customHeight="1" spans="2:2">
      <c r="B356" s="90"/>
    </row>
    <row r="357" ht="15.75" customHeight="1" spans="2:2">
      <c r="B357" s="90"/>
    </row>
    <row r="358" ht="15.75" customHeight="1" spans="2:2">
      <c r="B358" s="90"/>
    </row>
    <row r="359" ht="15.75" customHeight="1" spans="2:2">
      <c r="B359" s="90"/>
    </row>
    <row r="360" ht="15.75" customHeight="1" spans="2:2">
      <c r="B360" s="90"/>
    </row>
    <row r="361" ht="15.75" customHeight="1" spans="2:2">
      <c r="B361" s="90"/>
    </row>
    <row r="362" ht="15.75" customHeight="1" spans="2:2">
      <c r="B362" s="90"/>
    </row>
    <row r="363" ht="15.75" customHeight="1" spans="2:2">
      <c r="B363" s="90"/>
    </row>
    <row r="364" ht="15.75" customHeight="1" spans="2:2">
      <c r="B364" s="90"/>
    </row>
    <row r="365" ht="15.75" customHeight="1" spans="2:2">
      <c r="B365" s="90"/>
    </row>
    <row r="366" ht="15.75" customHeight="1" spans="2:2">
      <c r="B366" s="90"/>
    </row>
    <row r="367" ht="15.75" customHeight="1" spans="2:2">
      <c r="B367" s="90"/>
    </row>
    <row r="368" ht="15.75" customHeight="1" spans="2:2">
      <c r="B368" s="90"/>
    </row>
    <row r="369" ht="15.75" customHeight="1" spans="2:2">
      <c r="B369" s="90"/>
    </row>
    <row r="370" ht="15.75" customHeight="1" spans="2:2">
      <c r="B370" s="90"/>
    </row>
    <row r="371" ht="15.75" customHeight="1" spans="2:2">
      <c r="B371" s="90"/>
    </row>
    <row r="372" ht="15.75" customHeight="1" spans="2:2">
      <c r="B372" s="90"/>
    </row>
    <row r="373" ht="15.75" customHeight="1" spans="2:2">
      <c r="B373" s="90"/>
    </row>
    <row r="374" ht="15.75" customHeight="1" spans="2:2">
      <c r="B374" s="90"/>
    </row>
    <row r="375" ht="15.75" customHeight="1" spans="2:2">
      <c r="B375" s="90"/>
    </row>
    <row r="376" ht="15.75" customHeight="1" spans="2:2">
      <c r="B376" s="90"/>
    </row>
    <row r="377" ht="15.75" customHeight="1" spans="2:2">
      <c r="B377" s="90"/>
    </row>
    <row r="378" ht="15.75" customHeight="1" spans="2:2">
      <c r="B378" s="90"/>
    </row>
    <row r="379" ht="15.75" customHeight="1" spans="2:2">
      <c r="B379" s="90"/>
    </row>
    <row r="380" ht="15.75" customHeight="1" spans="2:2">
      <c r="B380" s="90"/>
    </row>
    <row r="381" ht="15.75" customHeight="1" spans="2:2">
      <c r="B381" s="90"/>
    </row>
    <row r="382" ht="15.75" customHeight="1" spans="2:2">
      <c r="B382" s="90"/>
    </row>
    <row r="383" ht="15.75" customHeight="1" spans="2:2">
      <c r="B383" s="90"/>
    </row>
    <row r="384" ht="15.75" customHeight="1" spans="2:2">
      <c r="B384" s="90"/>
    </row>
    <row r="385" ht="15.75" customHeight="1" spans="2:2">
      <c r="B385" s="90"/>
    </row>
    <row r="386" ht="15.75" customHeight="1" spans="2:2">
      <c r="B386" s="90"/>
    </row>
    <row r="387" ht="15.75" customHeight="1" spans="2:2">
      <c r="B387" s="90"/>
    </row>
    <row r="388" ht="15.75" customHeight="1" spans="2:2">
      <c r="B388" s="90"/>
    </row>
    <row r="389" ht="15.75" customHeight="1" spans="2:2">
      <c r="B389" s="90"/>
    </row>
    <row r="390" ht="15.75" customHeight="1" spans="2:2">
      <c r="B390" s="90"/>
    </row>
    <row r="391" ht="15.75" customHeight="1" spans="2:2">
      <c r="B391" s="90"/>
    </row>
    <row r="392" ht="15.75" customHeight="1" spans="2:2">
      <c r="B392" s="90"/>
    </row>
    <row r="393" ht="15.75" customHeight="1" spans="2:2">
      <c r="B393" s="90"/>
    </row>
    <row r="394" ht="15.75" customHeight="1" spans="2:2">
      <c r="B394" s="90"/>
    </row>
    <row r="395" ht="15.75" customHeight="1" spans="2:2">
      <c r="B395" s="90"/>
    </row>
    <row r="396" ht="15.75" customHeight="1" spans="2:2">
      <c r="B396" s="90"/>
    </row>
    <row r="397" ht="15.75" customHeight="1" spans="2:2">
      <c r="B397" s="90"/>
    </row>
    <row r="398" ht="15.75" customHeight="1" spans="2:2">
      <c r="B398" s="90"/>
    </row>
    <row r="399" ht="15.75" customHeight="1" spans="2:2">
      <c r="B399" s="90"/>
    </row>
    <row r="400" ht="15.75" customHeight="1" spans="2:2">
      <c r="B400" s="90"/>
    </row>
    <row r="401" ht="15.75" customHeight="1" spans="2:2">
      <c r="B401" s="90"/>
    </row>
    <row r="402" ht="15.75" customHeight="1" spans="2:2">
      <c r="B402" s="90"/>
    </row>
    <row r="403" ht="15.75" customHeight="1" spans="2:2">
      <c r="B403" s="90"/>
    </row>
    <row r="404" ht="15.75" customHeight="1" spans="2:2">
      <c r="B404" s="90"/>
    </row>
    <row r="405" ht="15.75" customHeight="1" spans="2:2">
      <c r="B405" s="90"/>
    </row>
    <row r="406" ht="15.75" customHeight="1" spans="2:2">
      <c r="B406" s="90"/>
    </row>
    <row r="407" ht="15.75" customHeight="1" spans="2:2">
      <c r="B407" s="90"/>
    </row>
    <row r="408" ht="15.75" customHeight="1" spans="2:2">
      <c r="B408" s="90"/>
    </row>
    <row r="409" ht="15.75" customHeight="1" spans="2:2">
      <c r="B409" s="90"/>
    </row>
    <row r="410" ht="15.75" customHeight="1" spans="2:2">
      <c r="B410" s="90"/>
    </row>
    <row r="411" ht="15.75" customHeight="1" spans="2:2">
      <c r="B411" s="90"/>
    </row>
    <row r="412" ht="15.75" customHeight="1" spans="2:2">
      <c r="B412" s="90"/>
    </row>
    <row r="413" ht="15.75" customHeight="1" spans="2:2">
      <c r="B413" s="90"/>
    </row>
    <row r="414" ht="15.75" customHeight="1" spans="2:2">
      <c r="B414" s="90"/>
    </row>
    <row r="415" ht="15.75" customHeight="1" spans="2:2">
      <c r="B415" s="90"/>
    </row>
    <row r="416" ht="15.75" customHeight="1" spans="2:2">
      <c r="B416" s="90"/>
    </row>
    <row r="417" ht="15.75" customHeight="1" spans="2:2">
      <c r="B417" s="90"/>
    </row>
    <row r="418" ht="15.75" customHeight="1" spans="2:2">
      <c r="B418" s="90"/>
    </row>
    <row r="419" ht="15.75" customHeight="1" spans="2:2">
      <c r="B419" s="90"/>
    </row>
    <row r="420" ht="15.75" customHeight="1" spans="2:2">
      <c r="B420" s="90"/>
    </row>
    <row r="421" ht="15.75" customHeight="1" spans="2:2">
      <c r="B421" s="90"/>
    </row>
    <row r="422" ht="15.75" customHeight="1" spans="2:2">
      <c r="B422" s="90"/>
    </row>
    <row r="423" ht="15.75" customHeight="1" spans="2:2">
      <c r="B423" s="90"/>
    </row>
    <row r="424" ht="15.75" customHeight="1" spans="2:2">
      <c r="B424" s="90"/>
    </row>
    <row r="425" ht="15.75" customHeight="1" spans="2:2">
      <c r="B425" s="90"/>
    </row>
    <row r="426" ht="15.75" customHeight="1" spans="2:2">
      <c r="B426" s="90"/>
    </row>
    <row r="427" ht="15.75" customHeight="1" spans="2:2">
      <c r="B427" s="90"/>
    </row>
    <row r="428" ht="15.75" customHeight="1" spans="2:2">
      <c r="B428" s="90"/>
    </row>
    <row r="429" ht="15.75" customHeight="1" spans="2:2">
      <c r="B429" s="90"/>
    </row>
    <row r="430" ht="15.75" customHeight="1" spans="2:2">
      <c r="B430" s="90"/>
    </row>
    <row r="431" ht="15.75" customHeight="1" spans="2:2">
      <c r="B431" s="90"/>
    </row>
    <row r="432" ht="15.75" customHeight="1" spans="2:2">
      <c r="B432" s="90"/>
    </row>
    <row r="433" ht="15.75" customHeight="1" spans="2:2">
      <c r="B433" s="90"/>
    </row>
    <row r="434" ht="15.75" customHeight="1" spans="2:2">
      <c r="B434" s="90"/>
    </row>
    <row r="435" ht="15.75" customHeight="1" spans="2:2">
      <c r="B435" s="90"/>
    </row>
    <row r="436" ht="15.75" customHeight="1" spans="2:2">
      <c r="B436" s="90"/>
    </row>
    <row r="437" ht="15.75" customHeight="1" spans="2:2">
      <c r="B437" s="90"/>
    </row>
    <row r="438" ht="15.75" customHeight="1" spans="2:2">
      <c r="B438" s="90"/>
    </row>
    <row r="439" ht="15.75" customHeight="1" spans="2:2">
      <c r="B439" s="90"/>
    </row>
    <row r="440" ht="15.75" customHeight="1" spans="2:2">
      <c r="B440" s="90"/>
    </row>
    <row r="441" ht="15.75" customHeight="1" spans="2:2">
      <c r="B441" s="90"/>
    </row>
    <row r="442" ht="15.75" customHeight="1" spans="2:2">
      <c r="B442" s="90"/>
    </row>
    <row r="443" ht="15.75" customHeight="1" spans="2:2">
      <c r="B443" s="90"/>
    </row>
    <row r="444" ht="15.75" customHeight="1" spans="2:2">
      <c r="B444" s="90"/>
    </row>
    <row r="445" ht="15.75" customHeight="1" spans="2:2">
      <c r="B445" s="90"/>
    </row>
    <row r="446" ht="15.75" customHeight="1" spans="2:2">
      <c r="B446" s="90"/>
    </row>
    <row r="447" ht="15.75" customHeight="1" spans="2:2">
      <c r="B447" s="90"/>
    </row>
    <row r="448" ht="15.75" customHeight="1" spans="2:2">
      <c r="B448" s="90"/>
    </row>
    <row r="449" ht="15.75" customHeight="1" spans="2:2">
      <c r="B449" s="90"/>
    </row>
    <row r="450" ht="15.75" customHeight="1" spans="2:2">
      <c r="B450" s="90"/>
    </row>
    <row r="451" ht="15.75" customHeight="1" spans="2:2">
      <c r="B451" s="90"/>
    </row>
    <row r="452" ht="15.75" customHeight="1" spans="2:2">
      <c r="B452" s="90"/>
    </row>
    <row r="453" ht="15.75" customHeight="1" spans="2:2">
      <c r="B453" s="90"/>
    </row>
    <row r="454" ht="15.75" customHeight="1" spans="2:2">
      <c r="B454" s="90"/>
    </row>
    <row r="455" ht="15.75" customHeight="1" spans="2:2">
      <c r="B455" s="90"/>
    </row>
    <row r="456" ht="15.75" customHeight="1" spans="2:2">
      <c r="B456" s="90"/>
    </row>
    <row r="457" ht="15.75" customHeight="1" spans="2:2">
      <c r="B457" s="90"/>
    </row>
    <row r="458" ht="15.75" customHeight="1" spans="2:2">
      <c r="B458" s="90"/>
    </row>
    <row r="459" ht="15.75" customHeight="1" spans="2:2">
      <c r="B459" s="90"/>
    </row>
    <row r="460" ht="15.75" customHeight="1" spans="2:2">
      <c r="B460" s="90"/>
    </row>
    <row r="461" ht="15.75" customHeight="1" spans="2:2">
      <c r="B461" s="90"/>
    </row>
    <row r="462" ht="15.75" customHeight="1" spans="2:2">
      <c r="B462" s="90"/>
    </row>
    <row r="463" ht="15.75" customHeight="1" spans="2:2">
      <c r="B463" s="90"/>
    </row>
    <row r="464" ht="15.75" customHeight="1" spans="2:2">
      <c r="B464" s="90"/>
    </row>
    <row r="465" ht="15.75" customHeight="1" spans="2:2">
      <c r="B465" s="90"/>
    </row>
    <row r="466" ht="15.75" customHeight="1" spans="2:2">
      <c r="B466" s="90"/>
    </row>
    <row r="467" ht="15.75" customHeight="1" spans="2:2">
      <c r="B467" s="90"/>
    </row>
    <row r="468" ht="15.75" customHeight="1" spans="2:2">
      <c r="B468" s="90"/>
    </row>
    <row r="469" ht="15.75" customHeight="1" spans="2:2">
      <c r="B469" s="90"/>
    </row>
    <row r="470" ht="15.75" customHeight="1" spans="2:2">
      <c r="B470" s="90"/>
    </row>
    <row r="471" ht="15.75" customHeight="1" spans="2:2">
      <c r="B471" s="90"/>
    </row>
    <row r="472" ht="15.75" customHeight="1" spans="2:2">
      <c r="B472" s="90"/>
    </row>
    <row r="473" ht="15.75" customHeight="1" spans="2:2">
      <c r="B473" s="90"/>
    </row>
    <row r="474" ht="15.75" customHeight="1" spans="2:2">
      <c r="B474" s="90"/>
    </row>
    <row r="475" ht="15.75" customHeight="1" spans="2:2">
      <c r="B475" s="90"/>
    </row>
    <row r="476" ht="15.75" customHeight="1" spans="2:2">
      <c r="B476" s="90"/>
    </row>
    <row r="477" ht="15.75" customHeight="1" spans="2:2">
      <c r="B477" s="90"/>
    </row>
    <row r="478" ht="15.75" customHeight="1" spans="2:2">
      <c r="B478" s="90"/>
    </row>
    <row r="479" ht="15.75" customHeight="1" spans="2:2">
      <c r="B479" s="90"/>
    </row>
    <row r="480" ht="15.75" customHeight="1" spans="2:2">
      <c r="B480" s="90"/>
    </row>
    <row r="481" ht="15.75" customHeight="1" spans="2:2">
      <c r="B481" s="90"/>
    </row>
    <row r="482" ht="15.75" customHeight="1" spans="2:2">
      <c r="B482" s="90"/>
    </row>
    <row r="483" ht="15.75" customHeight="1" spans="2:2">
      <c r="B483" s="90"/>
    </row>
    <row r="484" ht="15.75" customHeight="1" spans="2:2">
      <c r="B484" s="90"/>
    </row>
    <row r="485" ht="15.75" customHeight="1" spans="2:2">
      <c r="B485" s="90"/>
    </row>
    <row r="486" ht="15.75" customHeight="1" spans="2:2">
      <c r="B486" s="90"/>
    </row>
    <row r="487" ht="15.75" customHeight="1" spans="2:2">
      <c r="B487" s="90"/>
    </row>
    <row r="488" ht="15.75" customHeight="1" spans="2:2">
      <c r="B488" s="90"/>
    </row>
    <row r="489" ht="15.75" customHeight="1" spans="2:2">
      <c r="B489" s="90"/>
    </row>
    <row r="490" ht="15.75" customHeight="1" spans="2:2">
      <c r="B490" s="90"/>
    </row>
    <row r="491" ht="15.75" customHeight="1" spans="2:2">
      <c r="B491" s="90"/>
    </row>
    <row r="492" ht="15.75" customHeight="1" spans="2:2">
      <c r="B492" s="90"/>
    </row>
    <row r="493" ht="15.75" customHeight="1" spans="2:2">
      <c r="B493" s="90"/>
    </row>
    <row r="494" ht="15.75" customHeight="1" spans="2:2">
      <c r="B494" s="90"/>
    </row>
    <row r="495" ht="15.75" customHeight="1" spans="2:2">
      <c r="B495" s="90"/>
    </row>
    <row r="496" ht="15.75" customHeight="1" spans="2:2">
      <c r="B496" s="90"/>
    </row>
    <row r="497" ht="15.75" customHeight="1" spans="2:2">
      <c r="B497" s="90"/>
    </row>
    <row r="498" ht="15.75" customHeight="1" spans="2:2">
      <c r="B498" s="90"/>
    </row>
    <row r="499" ht="15.75" customHeight="1" spans="2:2">
      <c r="B499" s="90"/>
    </row>
    <row r="500" ht="15.75" customHeight="1" spans="2:2">
      <c r="B500" s="90"/>
    </row>
    <row r="501" ht="15.75" customHeight="1" spans="2:2">
      <c r="B501" s="90"/>
    </row>
    <row r="502" ht="15.75" customHeight="1" spans="2:2">
      <c r="B502" s="90"/>
    </row>
    <row r="503" ht="15.75" customHeight="1" spans="2:2">
      <c r="B503" s="90"/>
    </row>
    <row r="504" ht="15.75" customHeight="1" spans="2:2">
      <c r="B504" s="90"/>
    </row>
    <row r="505" ht="15.75" customHeight="1" spans="2:2">
      <c r="B505" s="90"/>
    </row>
    <row r="506" ht="15.75" customHeight="1" spans="2:2">
      <c r="B506" s="90"/>
    </row>
    <row r="507" ht="15.75" customHeight="1" spans="2:2">
      <c r="B507" s="90"/>
    </row>
    <row r="508" ht="15.75" customHeight="1" spans="2:2">
      <c r="B508" s="90"/>
    </row>
    <row r="509" ht="15.75" customHeight="1" spans="2:2">
      <c r="B509" s="90"/>
    </row>
    <row r="510" ht="15.75" customHeight="1" spans="2:2">
      <c r="B510" s="90"/>
    </row>
    <row r="511" ht="15.75" customHeight="1" spans="2:2">
      <c r="B511" s="90"/>
    </row>
    <row r="512" ht="15.75" customHeight="1" spans="2:2">
      <c r="B512" s="90"/>
    </row>
    <row r="513" ht="15.75" customHeight="1" spans="2:2">
      <c r="B513" s="90"/>
    </row>
    <row r="514" ht="15.75" customHeight="1" spans="2:2">
      <c r="B514" s="90"/>
    </row>
    <row r="515" ht="15.75" customHeight="1" spans="2:2">
      <c r="B515" s="90"/>
    </row>
    <row r="516" ht="15.75" customHeight="1" spans="2:2">
      <c r="B516" s="90"/>
    </row>
    <row r="517" ht="15.75" customHeight="1" spans="2:2">
      <c r="B517" s="90"/>
    </row>
    <row r="518" ht="15.75" customHeight="1" spans="2:2">
      <c r="B518" s="90"/>
    </row>
    <row r="519" ht="15.75" customHeight="1" spans="2:2">
      <c r="B519" s="90"/>
    </row>
    <row r="520" ht="15.75" customHeight="1" spans="2:2">
      <c r="B520" s="90"/>
    </row>
    <row r="521" ht="15.75" customHeight="1" spans="2:2">
      <c r="B521" s="90"/>
    </row>
    <row r="522" ht="15.75" customHeight="1" spans="2:2">
      <c r="B522" s="90"/>
    </row>
    <row r="523" ht="15.75" customHeight="1" spans="2:2">
      <c r="B523" s="90"/>
    </row>
    <row r="524" ht="15.75" customHeight="1" spans="2:2">
      <c r="B524" s="90"/>
    </row>
    <row r="525" ht="15.75" customHeight="1" spans="2:2">
      <c r="B525" s="90"/>
    </row>
    <row r="526" ht="15.75" customHeight="1" spans="2:2">
      <c r="B526" s="90"/>
    </row>
    <row r="527" ht="15.75" customHeight="1" spans="2:2">
      <c r="B527" s="90"/>
    </row>
    <row r="528" ht="15.75" customHeight="1" spans="2:2">
      <c r="B528" s="90"/>
    </row>
    <row r="529" ht="15.75" customHeight="1" spans="2:2">
      <c r="B529" s="90"/>
    </row>
    <row r="530" ht="15.75" customHeight="1" spans="2:2">
      <c r="B530" s="90"/>
    </row>
    <row r="531" ht="15.75" customHeight="1" spans="2:2">
      <c r="B531" s="90"/>
    </row>
    <row r="532" ht="15.75" customHeight="1" spans="2:2">
      <c r="B532" s="90"/>
    </row>
    <row r="533" ht="15.75" customHeight="1" spans="2:2">
      <c r="B533" s="90"/>
    </row>
    <row r="534" ht="15.75" customHeight="1" spans="2:2">
      <c r="B534" s="90"/>
    </row>
    <row r="535" ht="15.75" customHeight="1" spans="2:2">
      <c r="B535" s="90"/>
    </row>
    <row r="536" ht="15.75" customHeight="1" spans="2:2">
      <c r="B536" s="90"/>
    </row>
    <row r="537" ht="15.75" customHeight="1" spans="2:2">
      <c r="B537" s="90"/>
    </row>
    <row r="538" ht="15.75" customHeight="1" spans="2:2">
      <c r="B538" s="90"/>
    </row>
    <row r="539" ht="15.75" customHeight="1" spans="2:2">
      <c r="B539" s="90"/>
    </row>
    <row r="540" ht="15.75" customHeight="1" spans="2:2">
      <c r="B540" s="90"/>
    </row>
    <row r="541" ht="15.75" customHeight="1" spans="2:2">
      <c r="B541" s="90"/>
    </row>
    <row r="542" ht="15.75" customHeight="1" spans="2:2">
      <c r="B542" s="90"/>
    </row>
    <row r="543" ht="15.75" customHeight="1" spans="2:2">
      <c r="B543" s="90"/>
    </row>
    <row r="544" ht="15.75" customHeight="1" spans="2:2">
      <c r="B544" s="90"/>
    </row>
    <row r="545" ht="15.75" customHeight="1" spans="2:2">
      <c r="B545" s="90"/>
    </row>
    <row r="546" ht="15.75" customHeight="1" spans="2:2">
      <c r="B546" s="90"/>
    </row>
    <row r="547" ht="15.75" customHeight="1" spans="2:2">
      <c r="B547" s="90"/>
    </row>
    <row r="548" ht="15.75" customHeight="1" spans="2:2">
      <c r="B548" s="90"/>
    </row>
    <row r="549" ht="15.75" customHeight="1" spans="2:2">
      <c r="B549" s="90"/>
    </row>
    <row r="550" ht="15.75" customHeight="1" spans="2:2">
      <c r="B550" s="90"/>
    </row>
    <row r="551" ht="15.75" customHeight="1" spans="2:2">
      <c r="B551" s="90"/>
    </row>
    <row r="552" ht="15.75" customHeight="1" spans="2:2">
      <c r="B552" s="90"/>
    </row>
    <row r="553" ht="15.75" customHeight="1" spans="2:2">
      <c r="B553" s="90"/>
    </row>
    <row r="554" ht="15.75" customHeight="1" spans="2:2">
      <c r="B554" s="90"/>
    </row>
    <row r="555" ht="15.75" customHeight="1" spans="2:2">
      <c r="B555" s="90"/>
    </row>
    <row r="556" ht="15.75" customHeight="1" spans="2:2">
      <c r="B556" s="90"/>
    </row>
    <row r="557" ht="15.75" customHeight="1" spans="2:2">
      <c r="B557" s="90"/>
    </row>
    <row r="558" ht="15.75" customHeight="1" spans="2:2">
      <c r="B558" s="90"/>
    </row>
    <row r="559" ht="15.75" customHeight="1" spans="2:2">
      <c r="B559" s="90"/>
    </row>
    <row r="560" ht="15.75" customHeight="1" spans="2:2">
      <c r="B560" s="90"/>
    </row>
    <row r="561" ht="15.75" customHeight="1" spans="2:2">
      <c r="B561" s="90"/>
    </row>
    <row r="562" ht="15.75" customHeight="1" spans="2:2">
      <c r="B562" s="90"/>
    </row>
    <row r="563" ht="15.75" customHeight="1" spans="2:2">
      <c r="B563" s="90"/>
    </row>
    <row r="564" ht="15.75" customHeight="1" spans="2:2">
      <c r="B564" s="90"/>
    </row>
    <row r="565" ht="15.75" customHeight="1" spans="2:2">
      <c r="B565" s="90"/>
    </row>
    <row r="566" ht="15.75" customHeight="1" spans="2:2">
      <c r="B566" s="90"/>
    </row>
    <row r="567" ht="15.75" customHeight="1" spans="2:2">
      <c r="B567" s="90"/>
    </row>
    <row r="568" ht="15.75" customHeight="1" spans="2:2">
      <c r="B568" s="90"/>
    </row>
    <row r="569" ht="15.75" customHeight="1" spans="2:2">
      <c r="B569" s="90"/>
    </row>
    <row r="570" ht="15.75" customHeight="1" spans="2:2">
      <c r="B570" s="90"/>
    </row>
    <row r="571" ht="15.75" customHeight="1" spans="2:2">
      <c r="B571" s="90"/>
    </row>
    <row r="572" ht="15.75" customHeight="1" spans="2:2">
      <c r="B572" s="90"/>
    </row>
    <row r="573" ht="15.75" customHeight="1" spans="2:2">
      <c r="B573" s="90"/>
    </row>
    <row r="574" ht="15.75" customHeight="1" spans="2:2">
      <c r="B574" s="90"/>
    </row>
    <row r="575" ht="15.75" customHeight="1" spans="2:2">
      <c r="B575" s="90"/>
    </row>
    <row r="576" ht="15.75" customHeight="1" spans="2:2">
      <c r="B576" s="90"/>
    </row>
    <row r="577" ht="15.75" customHeight="1" spans="2:2">
      <c r="B577" s="90"/>
    </row>
    <row r="578" ht="15.75" customHeight="1" spans="2:2">
      <c r="B578" s="90"/>
    </row>
    <row r="579" ht="15.75" customHeight="1" spans="2:2">
      <c r="B579" s="90"/>
    </row>
    <row r="580" ht="15.75" customHeight="1" spans="2:2">
      <c r="B580" s="90"/>
    </row>
    <row r="581" ht="15.75" customHeight="1" spans="2:2">
      <c r="B581" s="90"/>
    </row>
    <row r="582" ht="15.75" customHeight="1" spans="2:2">
      <c r="B582" s="90"/>
    </row>
    <row r="583" ht="15.75" customHeight="1" spans="2:2">
      <c r="B583" s="90"/>
    </row>
    <row r="584" ht="15.75" customHeight="1" spans="2:2">
      <c r="B584" s="90"/>
    </row>
    <row r="585" ht="15.75" customHeight="1" spans="2:2">
      <c r="B585" s="90"/>
    </row>
    <row r="586" ht="15.75" customHeight="1" spans="2:2">
      <c r="B586" s="90"/>
    </row>
    <row r="587" ht="15.75" customHeight="1" spans="2:2">
      <c r="B587" s="90"/>
    </row>
    <row r="588" ht="15.75" customHeight="1" spans="2:2">
      <c r="B588" s="90"/>
    </row>
    <row r="589" ht="15.75" customHeight="1" spans="2:2">
      <c r="B589" s="90"/>
    </row>
    <row r="590" ht="15.75" customHeight="1" spans="2:2">
      <c r="B590" s="90"/>
    </row>
    <row r="591" ht="15.75" customHeight="1" spans="2:2">
      <c r="B591" s="90"/>
    </row>
    <row r="592" ht="15.75" customHeight="1" spans="2:2">
      <c r="B592" s="90"/>
    </row>
    <row r="593" ht="15.75" customHeight="1" spans="2:2">
      <c r="B593" s="90"/>
    </row>
    <row r="594" ht="15.75" customHeight="1" spans="2:2">
      <c r="B594" s="90"/>
    </row>
    <row r="595" ht="15.75" customHeight="1" spans="2:2">
      <c r="B595" s="90"/>
    </row>
    <row r="596" ht="15.75" customHeight="1" spans="2:2">
      <c r="B596" s="90"/>
    </row>
    <row r="597" ht="15.75" customHeight="1" spans="2:2">
      <c r="B597" s="90"/>
    </row>
    <row r="598" ht="15.75" customHeight="1" spans="2:2">
      <c r="B598" s="90"/>
    </row>
    <row r="599" ht="15.75" customHeight="1" spans="2:2">
      <c r="B599" s="90"/>
    </row>
    <row r="600" ht="15.75" customHeight="1" spans="2:2">
      <c r="B600" s="90"/>
    </row>
    <row r="601" ht="15.75" customHeight="1" spans="2:2">
      <c r="B601" s="90"/>
    </row>
    <row r="602" ht="15.75" customHeight="1" spans="2:2">
      <c r="B602" s="90"/>
    </row>
    <row r="603" ht="15.75" customHeight="1" spans="2:2">
      <c r="B603" s="90"/>
    </row>
    <row r="604" ht="15.75" customHeight="1" spans="2:2">
      <c r="B604" s="90"/>
    </row>
    <row r="605" ht="15.75" customHeight="1" spans="2:2">
      <c r="B605" s="90"/>
    </row>
    <row r="606" ht="15.75" customHeight="1" spans="2:2">
      <c r="B606" s="90"/>
    </row>
    <row r="607" ht="15.75" customHeight="1" spans="2:2">
      <c r="B607" s="90"/>
    </row>
    <row r="608" ht="15.75" customHeight="1" spans="2:2">
      <c r="B608" s="90"/>
    </row>
    <row r="609" ht="15.75" customHeight="1" spans="2:2">
      <c r="B609" s="90"/>
    </row>
    <row r="610" ht="15.75" customHeight="1" spans="2:2">
      <c r="B610" s="90"/>
    </row>
    <row r="611" ht="15.75" customHeight="1" spans="2:2">
      <c r="B611" s="90"/>
    </row>
    <row r="612" ht="15.75" customHeight="1" spans="2:2">
      <c r="B612" s="90"/>
    </row>
    <row r="613" ht="15.75" customHeight="1" spans="2:2">
      <c r="B613" s="90"/>
    </row>
    <row r="614" ht="15.75" customHeight="1" spans="2:2">
      <c r="B614" s="90"/>
    </row>
    <row r="615" ht="15.75" customHeight="1" spans="2:2">
      <c r="B615" s="90"/>
    </row>
    <row r="616" ht="15.75" customHeight="1" spans="2:2">
      <c r="B616" s="90"/>
    </row>
    <row r="617" ht="15.75" customHeight="1" spans="2:2">
      <c r="B617" s="90"/>
    </row>
    <row r="618" ht="15.75" customHeight="1" spans="2:2">
      <c r="B618" s="90"/>
    </row>
    <row r="619" ht="15.75" customHeight="1" spans="2:2">
      <c r="B619" s="90"/>
    </row>
    <row r="620" ht="15.75" customHeight="1" spans="2:2">
      <c r="B620" s="90"/>
    </row>
    <row r="621" ht="15.75" customHeight="1" spans="2:2">
      <c r="B621" s="90"/>
    </row>
    <row r="622" ht="15.75" customHeight="1" spans="2:2">
      <c r="B622" s="90"/>
    </row>
    <row r="623" ht="15.75" customHeight="1" spans="2:2">
      <c r="B623" s="90"/>
    </row>
    <row r="624" ht="15.75" customHeight="1" spans="2:2">
      <c r="B624" s="90"/>
    </row>
    <row r="625" ht="15.75" customHeight="1" spans="2:2">
      <c r="B625" s="90"/>
    </row>
    <row r="626" ht="15.75" customHeight="1" spans="2:2">
      <c r="B626" s="90"/>
    </row>
    <row r="627" ht="15.75" customHeight="1" spans="2:2">
      <c r="B627" s="90"/>
    </row>
    <row r="628" ht="15.75" customHeight="1" spans="2:2">
      <c r="B628" s="90"/>
    </row>
    <row r="629" ht="15.75" customHeight="1" spans="2:2">
      <c r="B629" s="90"/>
    </row>
    <row r="630" ht="15.75" customHeight="1" spans="2:2">
      <c r="B630" s="90"/>
    </row>
    <row r="631" ht="15.75" customHeight="1" spans="2:2">
      <c r="B631" s="90"/>
    </row>
    <row r="632" ht="15.75" customHeight="1" spans="2:2">
      <c r="B632" s="90"/>
    </row>
    <row r="633" ht="15.75" customHeight="1" spans="2:2">
      <c r="B633" s="90"/>
    </row>
    <row r="634" ht="15.75" customHeight="1" spans="2:2">
      <c r="B634" s="90"/>
    </row>
    <row r="635" ht="15.75" customHeight="1" spans="2:2">
      <c r="B635" s="90"/>
    </row>
    <row r="636" ht="15.75" customHeight="1" spans="2:2">
      <c r="B636" s="90"/>
    </row>
    <row r="637" ht="15.75" customHeight="1" spans="2:2">
      <c r="B637" s="90"/>
    </row>
    <row r="638" ht="15.75" customHeight="1" spans="2:2">
      <c r="B638" s="90"/>
    </row>
    <row r="639" ht="15.75" customHeight="1" spans="2:2">
      <c r="B639" s="90"/>
    </row>
    <row r="640" ht="15.75" customHeight="1" spans="2:2">
      <c r="B640" s="90"/>
    </row>
    <row r="641" ht="15.75" customHeight="1" spans="2:2">
      <c r="B641" s="90"/>
    </row>
    <row r="642" ht="15.75" customHeight="1" spans="2:2">
      <c r="B642" s="90"/>
    </row>
    <row r="643" ht="15.75" customHeight="1" spans="2:2">
      <c r="B643" s="90"/>
    </row>
    <row r="644" ht="15.75" customHeight="1" spans="2:2">
      <c r="B644" s="90"/>
    </row>
    <row r="645" ht="15.75" customHeight="1" spans="2:2">
      <c r="B645" s="90"/>
    </row>
    <row r="646" ht="15.75" customHeight="1" spans="2:2">
      <c r="B646" s="90"/>
    </row>
    <row r="647" ht="15.75" customHeight="1" spans="2:2">
      <c r="B647" s="90"/>
    </row>
    <row r="648" ht="15.75" customHeight="1" spans="2:2">
      <c r="B648" s="90"/>
    </row>
    <row r="649" ht="15.75" customHeight="1" spans="2:2">
      <c r="B649" s="90"/>
    </row>
    <row r="650" ht="15.75" customHeight="1" spans="2:2">
      <c r="B650" s="90"/>
    </row>
    <row r="651" ht="15.75" customHeight="1" spans="2:2">
      <c r="B651" s="90"/>
    </row>
    <row r="652" ht="15.75" customHeight="1" spans="2:2">
      <c r="B652" s="90"/>
    </row>
    <row r="653" ht="15.75" customHeight="1" spans="2:2">
      <c r="B653" s="90"/>
    </row>
    <row r="654" ht="15.75" customHeight="1" spans="2:2">
      <c r="B654" s="90"/>
    </row>
    <row r="655" ht="15.75" customHeight="1" spans="2:2">
      <c r="B655" s="90"/>
    </row>
    <row r="656" ht="15.75" customHeight="1" spans="2:2">
      <c r="B656" s="90"/>
    </row>
    <row r="657" ht="15.75" customHeight="1" spans="2:2">
      <c r="B657" s="90"/>
    </row>
    <row r="658" ht="15.75" customHeight="1" spans="2:2">
      <c r="B658" s="90"/>
    </row>
    <row r="659" ht="15.75" customHeight="1" spans="2:2">
      <c r="B659" s="90"/>
    </row>
    <row r="660" ht="15.75" customHeight="1" spans="2:2">
      <c r="B660" s="90"/>
    </row>
    <row r="661" ht="15.75" customHeight="1" spans="2:2">
      <c r="B661" s="90"/>
    </row>
    <row r="662" ht="15.75" customHeight="1" spans="2:2">
      <c r="B662" s="90"/>
    </row>
    <row r="663" ht="15.75" customHeight="1" spans="2:2">
      <c r="B663" s="90"/>
    </row>
    <row r="664" ht="15.75" customHeight="1" spans="2:2">
      <c r="B664" s="90"/>
    </row>
    <row r="665" ht="15.75" customHeight="1" spans="2:2">
      <c r="B665" s="90"/>
    </row>
    <row r="666" ht="15.75" customHeight="1" spans="2:2">
      <c r="B666" s="90"/>
    </row>
    <row r="667" ht="15.75" customHeight="1" spans="2:2">
      <c r="B667" s="90"/>
    </row>
    <row r="668" ht="15.75" customHeight="1" spans="2:2">
      <c r="B668" s="90"/>
    </row>
    <row r="669" ht="15.75" customHeight="1" spans="2:2">
      <c r="B669" s="90"/>
    </row>
    <row r="670" ht="15.75" customHeight="1" spans="2:2">
      <c r="B670" s="90"/>
    </row>
    <row r="671" ht="15.75" customHeight="1" spans="2:2">
      <c r="B671" s="90"/>
    </row>
    <row r="672" ht="15.75" customHeight="1" spans="2:2">
      <c r="B672" s="90"/>
    </row>
    <row r="673" ht="15.75" customHeight="1" spans="2:2">
      <c r="B673" s="90"/>
    </row>
    <row r="674" ht="15.75" customHeight="1" spans="2:2">
      <c r="B674" s="90"/>
    </row>
    <row r="675" ht="15.75" customHeight="1" spans="2:2">
      <c r="B675" s="90"/>
    </row>
    <row r="676" ht="15.75" customHeight="1" spans="2:2">
      <c r="B676" s="90"/>
    </row>
    <row r="677" ht="15.75" customHeight="1" spans="2:2">
      <c r="B677" s="90"/>
    </row>
    <row r="678" ht="15.75" customHeight="1" spans="2:2">
      <c r="B678" s="90"/>
    </row>
    <row r="679" ht="15.75" customHeight="1" spans="2:2">
      <c r="B679" s="90"/>
    </row>
    <row r="680" ht="15.75" customHeight="1" spans="2:2">
      <c r="B680" s="90"/>
    </row>
    <row r="681" ht="15.75" customHeight="1" spans="2:2">
      <c r="B681" s="90"/>
    </row>
    <row r="682" ht="15.75" customHeight="1" spans="2:2">
      <c r="B682" s="90"/>
    </row>
    <row r="683" ht="15.75" customHeight="1" spans="2:2">
      <c r="B683" s="90"/>
    </row>
    <row r="684" ht="15.75" customHeight="1" spans="2:2">
      <c r="B684" s="90"/>
    </row>
    <row r="685" ht="15.75" customHeight="1" spans="2:2">
      <c r="B685" s="90"/>
    </row>
    <row r="686" ht="15.75" customHeight="1" spans="2:2">
      <c r="B686" s="90"/>
    </row>
    <row r="687" ht="15.75" customHeight="1" spans="2:2">
      <c r="B687" s="90"/>
    </row>
    <row r="688" ht="15.75" customHeight="1" spans="2:2">
      <c r="B688" s="90"/>
    </row>
    <row r="689" ht="15.75" customHeight="1" spans="2:2">
      <c r="B689" s="90"/>
    </row>
    <row r="690" ht="15.75" customHeight="1" spans="2:2">
      <c r="B690" s="90"/>
    </row>
    <row r="691" ht="15.75" customHeight="1" spans="2:2">
      <c r="B691" s="90"/>
    </row>
    <row r="692" ht="15.75" customHeight="1" spans="2:2">
      <c r="B692" s="90"/>
    </row>
    <row r="693" ht="15.75" customHeight="1" spans="2:2">
      <c r="B693" s="90"/>
    </row>
    <row r="694" ht="15.75" customHeight="1" spans="2:2">
      <c r="B694" s="90"/>
    </row>
    <row r="695" ht="15.75" customHeight="1" spans="2:2">
      <c r="B695" s="90"/>
    </row>
    <row r="696" ht="15.75" customHeight="1" spans="2:2">
      <c r="B696" s="90"/>
    </row>
    <row r="697" ht="15.75" customHeight="1" spans="2:2">
      <c r="B697" s="90"/>
    </row>
    <row r="698" ht="15.75" customHeight="1" spans="2:2">
      <c r="B698" s="90"/>
    </row>
    <row r="699" ht="15.75" customHeight="1" spans="2:2">
      <c r="B699" s="90"/>
    </row>
    <row r="700" ht="15.75" customHeight="1" spans="2:2">
      <c r="B700" s="90"/>
    </row>
    <row r="701" ht="15.75" customHeight="1" spans="2:2">
      <c r="B701" s="90"/>
    </row>
    <row r="702" ht="15.75" customHeight="1" spans="2:2">
      <c r="B702" s="90"/>
    </row>
    <row r="703" ht="15.75" customHeight="1" spans="2:2">
      <c r="B703" s="90"/>
    </row>
    <row r="704" ht="15.75" customHeight="1" spans="2:2">
      <c r="B704" s="90"/>
    </row>
    <row r="705" ht="15.75" customHeight="1" spans="2:2">
      <c r="B705" s="90"/>
    </row>
    <row r="706" ht="15.75" customHeight="1" spans="2:2">
      <c r="B706" s="90"/>
    </row>
    <row r="707" ht="15.75" customHeight="1" spans="2:2">
      <c r="B707" s="90"/>
    </row>
    <row r="708" ht="15.75" customHeight="1" spans="2:2">
      <c r="B708" s="90"/>
    </row>
    <row r="709" ht="15.75" customHeight="1" spans="2:2">
      <c r="B709" s="90"/>
    </row>
    <row r="710" ht="15.75" customHeight="1" spans="2:2">
      <c r="B710" s="90"/>
    </row>
    <row r="711" ht="15.75" customHeight="1" spans="2:2">
      <c r="B711" s="90"/>
    </row>
    <row r="712" ht="15.75" customHeight="1" spans="2:2">
      <c r="B712" s="90"/>
    </row>
    <row r="713" ht="15.75" customHeight="1" spans="2:2">
      <c r="B713" s="90"/>
    </row>
    <row r="714" ht="15.75" customHeight="1" spans="2:2">
      <c r="B714" s="90"/>
    </row>
    <row r="715" ht="15.75" customHeight="1" spans="2:2">
      <c r="B715" s="90"/>
    </row>
    <row r="716" ht="15.75" customHeight="1" spans="2:2">
      <c r="B716" s="90"/>
    </row>
    <row r="717" ht="15.75" customHeight="1" spans="2:2">
      <c r="B717" s="90"/>
    </row>
    <row r="718" ht="15.75" customHeight="1" spans="2:2">
      <c r="B718" s="90"/>
    </row>
    <row r="719" ht="15.75" customHeight="1" spans="2:2">
      <c r="B719" s="90"/>
    </row>
    <row r="720" ht="15.75" customHeight="1" spans="2:2">
      <c r="B720" s="90"/>
    </row>
    <row r="721" ht="15.75" customHeight="1" spans="2:2">
      <c r="B721" s="90"/>
    </row>
    <row r="722" ht="15.75" customHeight="1" spans="2:2">
      <c r="B722" s="90"/>
    </row>
    <row r="723" ht="15.75" customHeight="1" spans="2:2">
      <c r="B723" s="90"/>
    </row>
    <row r="724" ht="15.75" customHeight="1" spans="2:2">
      <c r="B724" s="90"/>
    </row>
    <row r="725" ht="15.75" customHeight="1" spans="2:2">
      <c r="B725" s="90"/>
    </row>
    <row r="726" ht="15.75" customHeight="1" spans="2:2">
      <c r="B726" s="90"/>
    </row>
    <row r="727" ht="15.75" customHeight="1" spans="2:2">
      <c r="B727" s="90"/>
    </row>
    <row r="728" ht="15.75" customHeight="1" spans="2:2">
      <c r="B728" s="90"/>
    </row>
    <row r="729" ht="15.75" customHeight="1" spans="2:2">
      <c r="B729" s="90"/>
    </row>
    <row r="730" ht="15.75" customHeight="1" spans="2:2">
      <c r="B730" s="90"/>
    </row>
    <row r="731" ht="15.75" customHeight="1" spans="2:2">
      <c r="B731" s="90"/>
    </row>
    <row r="732" ht="15.75" customHeight="1" spans="2:2">
      <c r="B732" s="90"/>
    </row>
    <row r="733" ht="15.75" customHeight="1" spans="2:2">
      <c r="B733" s="90"/>
    </row>
    <row r="734" ht="15.75" customHeight="1" spans="2:2">
      <c r="B734" s="90"/>
    </row>
    <row r="735" ht="15.75" customHeight="1" spans="2:2">
      <c r="B735" s="90"/>
    </row>
    <row r="736" ht="15.75" customHeight="1" spans="2:2">
      <c r="B736" s="90"/>
    </row>
    <row r="737" ht="15.75" customHeight="1" spans="2:2">
      <c r="B737" s="90"/>
    </row>
    <row r="738" ht="15.75" customHeight="1" spans="2:2">
      <c r="B738" s="90"/>
    </row>
    <row r="739" ht="15.75" customHeight="1" spans="2:2">
      <c r="B739" s="90"/>
    </row>
    <row r="740" ht="15.75" customHeight="1" spans="2:2">
      <c r="B740" s="90"/>
    </row>
    <row r="741" ht="15.75" customHeight="1" spans="2:2">
      <c r="B741" s="90"/>
    </row>
    <row r="742" ht="15.75" customHeight="1" spans="2:2">
      <c r="B742" s="90"/>
    </row>
    <row r="743" ht="15.75" customHeight="1" spans="2:2">
      <c r="B743" s="90"/>
    </row>
    <row r="744" ht="15.75" customHeight="1" spans="2:2">
      <c r="B744" s="90"/>
    </row>
    <row r="745" ht="15.75" customHeight="1" spans="2:2">
      <c r="B745" s="90"/>
    </row>
    <row r="746" ht="15.75" customHeight="1" spans="2:2">
      <c r="B746" s="90"/>
    </row>
    <row r="747" ht="15.75" customHeight="1" spans="2:2">
      <c r="B747" s="90"/>
    </row>
    <row r="748" ht="15.75" customHeight="1" spans="2:2">
      <c r="B748" s="90"/>
    </row>
    <row r="749" ht="15.75" customHeight="1" spans="2:2">
      <c r="B749" s="90"/>
    </row>
    <row r="750" ht="15.75" customHeight="1" spans="2:2">
      <c r="B750" s="90"/>
    </row>
    <row r="751" ht="15.75" customHeight="1" spans="2:2">
      <c r="B751" s="90"/>
    </row>
    <row r="752" ht="15.75" customHeight="1" spans="2:2">
      <c r="B752" s="90"/>
    </row>
    <row r="753" ht="15.75" customHeight="1" spans="2:2">
      <c r="B753" s="90"/>
    </row>
    <row r="754" ht="15.75" customHeight="1" spans="2:2">
      <c r="B754" s="90"/>
    </row>
    <row r="755" ht="15.75" customHeight="1" spans="2:2">
      <c r="B755" s="90"/>
    </row>
    <row r="756" ht="15.75" customHeight="1" spans="2:2">
      <c r="B756" s="90"/>
    </row>
    <row r="757" ht="15.75" customHeight="1" spans="2:2">
      <c r="B757" s="90"/>
    </row>
    <row r="758" ht="15.75" customHeight="1" spans="2:2">
      <c r="B758" s="90"/>
    </row>
    <row r="759" ht="15.75" customHeight="1" spans="2:2">
      <c r="B759" s="90"/>
    </row>
    <row r="760" ht="15.75" customHeight="1" spans="2:2">
      <c r="B760" s="90"/>
    </row>
    <row r="761" ht="15.75" customHeight="1" spans="2:2">
      <c r="B761" s="90"/>
    </row>
    <row r="762" ht="15.75" customHeight="1" spans="2:2">
      <c r="B762" s="90"/>
    </row>
    <row r="763" ht="15.75" customHeight="1" spans="2:2">
      <c r="B763" s="90"/>
    </row>
    <row r="764" ht="15.75" customHeight="1" spans="2:2">
      <c r="B764" s="90"/>
    </row>
    <row r="765" ht="15.75" customHeight="1" spans="2:2">
      <c r="B765" s="90"/>
    </row>
    <row r="766" ht="15.75" customHeight="1" spans="2:2">
      <c r="B766" s="90"/>
    </row>
    <row r="767" ht="15.75" customHeight="1" spans="2:2">
      <c r="B767" s="90"/>
    </row>
    <row r="768" ht="15.75" customHeight="1" spans="2:2">
      <c r="B768" s="90"/>
    </row>
    <row r="769" ht="15.75" customHeight="1" spans="2:2">
      <c r="B769" s="90"/>
    </row>
    <row r="770" ht="15.75" customHeight="1" spans="2:2">
      <c r="B770" s="90"/>
    </row>
    <row r="771" ht="15.75" customHeight="1" spans="2:2">
      <c r="B771" s="90"/>
    </row>
    <row r="772" ht="15.75" customHeight="1" spans="2:2">
      <c r="B772" s="90"/>
    </row>
    <row r="773" ht="15.75" customHeight="1" spans="2:2">
      <c r="B773" s="90"/>
    </row>
    <row r="774" ht="15.75" customHeight="1" spans="2:2">
      <c r="B774" s="90"/>
    </row>
    <row r="775" ht="15.75" customHeight="1" spans="2:2">
      <c r="B775" s="90"/>
    </row>
    <row r="776" ht="15.75" customHeight="1" spans="2:2">
      <c r="B776" s="90"/>
    </row>
    <row r="777" ht="15.75" customHeight="1" spans="2:2">
      <c r="B777" s="90"/>
    </row>
    <row r="778" ht="15.75" customHeight="1" spans="2:2">
      <c r="B778" s="90"/>
    </row>
    <row r="779" ht="15.75" customHeight="1" spans="2:2">
      <c r="B779" s="90"/>
    </row>
    <row r="780" ht="15.75" customHeight="1" spans="2:2">
      <c r="B780" s="90"/>
    </row>
    <row r="781" ht="15.75" customHeight="1" spans="2:2">
      <c r="B781" s="90"/>
    </row>
    <row r="782" ht="15.75" customHeight="1" spans="2:2">
      <c r="B782" s="90"/>
    </row>
    <row r="783" ht="15.75" customHeight="1" spans="2:2">
      <c r="B783" s="90"/>
    </row>
    <row r="784" ht="15.75" customHeight="1" spans="2:2">
      <c r="B784" s="90"/>
    </row>
    <row r="785" ht="15.75" customHeight="1" spans="2:2">
      <c r="B785" s="90"/>
    </row>
    <row r="786" ht="15.75" customHeight="1" spans="2:2">
      <c r="B786" s="90"/>
    </row>
    <row r="787" ht="15.75" customHeight="1" spans="2:2">
      <c r="B787" s="90"/>
    </row>
    <row r="788" ht="15.75" customHeight="1" spans="2:2">
      <c r="B788" s="90"/>
    </row>
    <row r="789" ht="15.75" customHeight="1" spans="2:2">
      <c r="B789" s="90"/>
    </row>
    <row r="790" ht="15.75" customHeight="1" spans="2:2">
      <c r="B790" s="90"/>
    </row>
    <row r="791" ht="15.75" customHeight="1" spans="2:2">
      <c r="B791" s="90"/>
    </row>
    <row r="792" ht="15.75" customHeight="1" spans="2:2">
      <c r="B792" s="90"/>
    </row>
    <row r="793" ht="15.75" customHeight="1" spans="2:2">
      <c r="B793" s="90"/>
    </row>
    <row r="794" ht="15.75" customHeight="1" spans="2:2">
      <c r="B794" s="90"/>
    </row>
    <row r="795" ht="15.75" customHeight="1" spans="2:2">
      <c r="B795" s="90"/>
    </row>
    <row r="796" ht="15.75" customHeight="1" spans="2:2">
      <c r="B796" s="90"/>
    </row>
    <row r="797" ht="15.75" customHeight="1" spans="2:2">
      <c r="B797" s="90"/>
    </row>
    <row r="798" ht="15.75" customHeight="1" spans="2:2">
      <c r="B798" s="90"/>
    </row>
    <row r="799" ht="15.75" customHeight="1" spans="2:2">
      <c r="B799" s="90"/>
    </row>
    <row r="800" ht="15.75" customHeight="1" spans="2:2">
      <c r="B800" s="90"/>
    </row>
    <row r="801" ht="15.75" customHeight="1" spans="2:2">
      <c r="B801" s="90"/>
    </row>
    <row r="802" ht="15.75" customHeight="1" spans="2:2">
      <c r="B802" s="90"/>
    </row>
    <row r="803" ht="15.75" customHeight="1" spans="2:2">
      <c r="B803" s="90"/>
    </row>
    <row r="804" ht="15.75" customHeight="1" spans="2:2">
      <c r="B804" s="90"/>
    </row>
    <row r="805" ht="15.75" customHeight="1" spans="2:2">
      <c r="B805" s="90"/>
    </row>
    <row r="806" ht="15.75" customHeight="1" spans="2:2">
      <c r="B806" s="90"/>
    </row>
    <row r="807" ht="15.75" customHeight="1" spans="2:2">
      <c r="B807" s="90"/>
    </row>
    <row r="808" ht="15.75" customHeight="1" spans="2:2">
      <c r="B808" s="90"/>
    </row>
    <row r="809" ht="15.75" customHeight="1" spans="2:2">
      <c r="B809" s="90"/>
    </row>
    <row r="810" ht="15.75" customHeight="1" spans="2:2">
      <c r="B810" s="90"/>
    </row>
    <row r="811" ht="15.75" customHeight="1" spans="2:2">
      <c r="B811" s="90"/>
    </row>
    <row r="812" ht="15.75" customHeight="1" spans="2:2">
      <c r="B812" s="90"/>
    </row>
    <row r="813" ht="15.75" customHeight="1" spans="2:2">
      <c r="B813" s="90"/>
    </row>
    <row r="814" ht="15.75" customHeight="1" spans="2:2">
      <c r="B814" s="90"/>
    </row>
    <row r="815" ht="15.75" customHeight="1" spans="2:2">
      <c r="B815" s="90"/>
    </row>
    <row r="816" ht="15.75" customHeight="1" spans="2:2">
      <c r="B816" s="90"/>
    </row>
    <row r="817" ht="15.75" customHeight="1" spans="2:2">
      <c r="B817" s="90"/>
    </row>
    <row r="818" ht="15.75" customHeight="1" spans="2:2">
      <c r="B818" s="90"/>
    </row>
    <row r="819" ht="15.75" customHeight="1" spans="2:2">
      <c r="B819" s="90"/>
    </row>
    <row r="820" ht="15.75" customHeight="1" spans="2:2">
      <c r="B820" s="90"/>
    </row>
    <row r="821" ht="15.75" customHeight="1" spans="2:2">
      <c r="B821" s="90"/>
    </row>
    <row r="822" ht="15.75" customHeight="1" spans="2:2">
      <c r="B822" s="90"/>
    </row>
    <row r="823" ht="15.75" customHeight="1" spans="2:2">
      <c r="B823" s="90"/>
    </row>
    <row r="824" ht="15.75" customHeight="1" spans="2:2">
      <c r="B824" s="90"/>
    </row>
    <row r="825" ht="15.75" customHeight="1" spans="2:2">
      <c r="B825" s="90"/>
    </row>
    <row r="826" ht="15.75" customHeight="1" spans="2:2">
      <c r="B826" s="90"/>
    </row>
    <row r="827" ht="15.75" customHeight="1" spans="2:2">
      <c r="B827" s="90"/>
    </row>
    <row r="828" ht="15.75" customHeight="1" spans="2:2">
      <c r="B828" s="90"/>
    </row>
    <row r="829" ht="15.75" customHeight="1" spans="2:2">
      <c r="B829" s="90"/>
    </row>
    <row r="830" ht="15.75" customHeight="1" spans="2:2">
      <c r="B830" s="90"/>
    </row>
    <row r="831" ht="15.75" customHeight="1" spans="2:2">
      <c r="B831" s="90"/>
    </row>
    <row r="832" ht="15.75" customHeight="1" spans="2:2">
      <c r="B832" s="90"/>
    </row>
    <row r="833" ht="15.75" customHeight="1" spans="2:2">
      <c r="B833" s="90"/>
    </row>
    <row r="834" ht="15.75" customHeight="1" spans="2:2">
      <c r="B834" s="90"/>
    </row>
    <row r="835" ht="15.75" customHeight="1" spans="2:2">
      <c r="B835" s="90"/>
    </row>
    <row r="836" ht="15.75" customHeight="1" spans="2:2">
      <c r="B836" s="90"/>
    </row>
    <row r="837" ht="15.75" customHeight="1" spans="2:2">
      <c r="B837" s="90"/>
    </row>
    <row r="838" ht="15.75" customHeight="1" spans="2:2">
      <c r="B838" s="90"/>
    </row>
    <row r="839" ht="15.75" customHeight="1" spans="2:2">
      <c r="B839" s="90"/>
    </row>
    <row r="840" ht="15.75" customHeight="1" spans="2:2">
      <c r="B840" s="90"/>
    </row>
    <row r="841" ht="15.75" customHeight="1" spans="2:2">
      <c r="B841" s="90"/>
    </row>
    <row r="842" ht="15.75" customHeight="1" spans="2:2">
      <c r="B842" s="90"/>
    </row>
    <row r="843" ht="15.75" customHeight="1" spans="2:2">
      <c r="B843" s="90"/>
    </row>
    <row r="844" ht="15.75" customHeight="1" spans="2:2">
      <c r="B844" s="90"/>
    </row>
    <row r="845" ht="15.75" customHeight="1" spans="2:2">
      <c r="B845" s="90"/>
    </row>
    <row r="846" ht="15.75" customHeight="1" spans="2:2">
      <c r="B846" s="90"/>
    </row>
    <row r="847" ht="15.75" customHeight="1" spans="2:2">
      <c r="B847" s="90"/>
    </row>
    <row r="848" ht="15.75" customHeight="1" spans="2:2">
      <c r="B848" s="90"/>
    </row>
    <row r="849" ht="15.75" customHeight="1" spans="2:2">
      <c r="B849" s="90"/>
    </row>
    <row r="850" ht="15.75" customHeight="1" spans="2:2">
      <c r="B850" s="90"/>
    </row>
    <row r="851" ht="15.75" customHeight="1" spans="2:2">
      <c r="B851" s="90"/>
    </row>
    <row r="852" ht="15.75" customHeight="1" spans="2:2">
      <c r="B852" s="90"/>
    </row>
    <row r="853" ht="15.75" customHeight="1" spans="2:2">
      <c r="B853" s="90"/>
    </row>
    <row r="854" ht="15.75" customHeight="1" spans="2:2">
      <c r="B854" s="90"/>
    </row>
    <row r="855" ht="15.75" customHeight="1" spans="2:2">
      <c r="B855" s="90"/>
    </row>
    <row r="856" ht="15.75" customHeight="1" spans="2:2">
      <c r="B856" s="90"/>
    </row>
    <row r="857" ht="15.75" customHeight="1" spans="2:2">
      <c r="B857" s="90"/>
    </row>
    <row r="858" ht="15.75" customHeight="1" spans="2:2">
      <c r="B858" s="90"/>
    </row>
    <row r="859" ht="15.75" customHeight="1" spans="2:2">
      <c r="B859" s="90"/>
    </row>
    <row r="860" ht="15.75" customHeight="1" spans="2:2">
      <c r="B860" s="90"/>
    </row>
    <row r="861" ht="15.75" customHeight="1" spans="2:2">
      <c r="B861" s="90"/>
    </row>
    <row r="862" ht="15.75" customHeight="1" spans="2:2">
      <c r="B862" s="90"/>
    </row>
    <row r="863" ht="15.75" customHeight="1" spans="2:2">
      <c r="B863" s="90"/>
    </row>
    <row r="864" ht="15.75" customHeight="1" spans="2:2">
      <c r="B864" s="90"/>
    </row>
    <row r="865" ht="15.75" customHeight="1" spans="2:2">
      <c r="B865" s="90"/>
    </row>
    <row r="866" ht="15.75" customHeight="1" spans="2:2">
      <c r="B866" s="90"/>
    </row>
    <row r="867" ht="15.75" customHeight="1" spans="2:2">
      <c r="B867" s="90"/>
    </row>
    <row r="868" ht="15.75" customHeight="1" spans="2:2">
      <c r="B868" s="90"/>
    </row>
    <row r="869" ht="15.75" customHeight="1" spans="2:2">
      <c r="B869" s="90"/>
    </row>
    <row r="870" ht="15.75" customHeight="1" spans="2:2">
      <c r="B870" s="90"/>
    </row>
    <row r="871" ht="15.75" customHeight="1" spans="2:2">
      <c r="B871" s="90"/>
    </row>
    <row r="872" ht="15.75" customHeight="1" spans="2:2">
      <c r="B872" s="90"/>
    </row>
    <row r="873" ht="15.75" customHeight="1" spans="2:2">
      <c r="B873" s="90"/>
    </row>
    <row r="874" ht="15.75" customHeight="1" spans="2:2">
      <c r="B874" s="90"/>
    </row>
    <row r="875" ht="15.75" customHeight="1" spans="2:2">
      <c r="B875" s="90"/>
    </row>
    <row r="876" ht="15.75" customHeight="1" spans="2:2">
      <c r="B876" s="90"/>
    </row>
    <row r="877" ht="15.75" customHeight="1" spans="2:2">
      <c r="B877" s="90"/>
    </row>
    <row r="878" ht="15.75" customHeight="1" spans="2:2">
      <c r="B878" s="90"/>
    </row>
    <row r="879" ht="15.75" customHeight="1" spans="2:2">
      <c r="B879" s="90"/>
    </row>
    <row r="880" ht="15.75" customHeight="1" spans="2:2">
      <c r="B880" s="90"/>
    </row>
    <row r="881" ht="15.75" customHeight="1" spans="2:2">
      <c r="B881" s="90"/>
    </row>
    <row r="882" ht="15.75" customHeight="1" spans="2:2">
      <c r="B882" s="90"/>
    </row>
    <row r="883" ht="15.75" customHeight="1" spans="2:2">
      <c r="B883" s="90"/>
    </row>
    <row r="884" ht="15.75" customHeight="1" spans="2:2">
      <c r="B884" s="90"/>
    </row>
    <row r="885" ht="15.75" customHeight="1" spans="2:2">
      <c r="B885" s="90"/>
    </row>
    <row r="886" ht="15.75" customHeight="1" spans="2:2">
      <c r="B886" s="90"/>
    </row>
    <row r="887" ht="15.75" customHeight="1" spans="2:2">
      <c r="B887" s="90"/>
    </row>
    <row r="888" ht="15.75" customHeight="1" spans="2:2">
      <c r="B888" s="90"/>
    </row>
    <row r="889" ht="15.75" customHeight="1" spans="2:2">
      <c r="B889" s="90"/>
    </row>
    <row r="890" ht="15.75" customHeight="1" spans="2:2">
      <c r="B890" s="90"/>
    </row>
    <row r="891" ht="15.75" customHeight="1" spans="2:2">
      <c r="B891" s="90"/>
    </row>
    <row r="892" ht="15.75" customHeight="1" spans="2:2">
      <c r="B892" s="90"/>
    </row>
    <row r="893" ht="15.75" customHeight="1" spans="2:2">
      <c r="B893" s="90"/>
    </row>
    <row r="894" ht="15.75" customHeight="1" spans="2:2">
      <c r="B894" s="90"/>
    </row>
    <row r="895" ht="15.75" customHeight="1" spans="2:2">
      <c r="B895" s="90"/>
    </row>
    <row r="896" ht="15.75" customHeight="1" spans="2:2">
      <c r="B896" s="90"/>
    </row>
    <row r="897" ht="15.75" customHeight="1" spans="2:2">
      <c r="B897" s="90"/>
    </row>
    <row r="898" ht="15.75" customHeight="1" spans="2:2">
      <c r="B898" s="90"/>
    </row>
    <row r="899" ht="15.75" customHeight="1" spans="2:2">
      <c r="B899" s="90"/>
    </row>
    <row r="900" ht="15.75" customHeight="1" spans="2:2">
      <c r="B900" s="90"/>
    </row>
    <row r="901" ht="15.75" customHeight="1" spans="2:2">
      <c r="B901" s="90"/>
    </row>
    <row r="902" ht="15.75" customHeight="1" spans="2:2">
      <c r="B902" s="90"/>
    </row>
    <row r="903" ht="15.75" customHeight="1" spans="2:2">
      <c r="B903" s="90"/>
    </row>
    <row r="904" ht="15.75" customHeight="1" spans="2:2">
      <c r="B904" s="90"/>
    </row>
    <row r="905" ht="15.75" customHeight="1" spans="2:2">
      <c r="B905" s="90"/>
    </row>
    <row r="906" ht="15.75" customHeight="1" spans="2:2">
      <c r="B906" s="90"/>
    </row>
    <row r="907" ht="15.75" customHeight="1" spans="2:2">
      <c r="B907" s="90"/>
    </row>
    <row r="908" ht="15.75" customHeight="1" spans="2:2">
      <c r="B908" s="90"/>
    </row>
    <row r="909" ht="15.75" customHeight="1" spans="2:2">
      <c r="B909" s="90"/>
    </row>
    <row r="910" ht="15.75" customHeight="1" spans="2:2">
      <c r="B910" s="90"/>
    </row>
    <row r="911" ht="15.75" customHeight="1" spans="2:2">
      <c r="B911" s="90"/>
    </row>
    <row r="912" ht="15.75" customHeight="1" spans="2:2">
      <c r="B912" s="90"/>
    </row>
    <row r="913" ht="15.75" customHeight="1" spans="2:2">
      <c r="B913" s="90"/>
    </row>
    <row r="914" ht="15.75" customHeight="1" spans="2:2">
      <c r="B914" s="90"/>
    </row>
    <row r="915" ht="15.75" customHeight="1" spans="2:2">
      <c r="B915" s="90"/>
    </row>
    <row r="916" ht="15.75" customHeight="1" spans="2:2">
      <c r="B916" s="90"/>
    </row>
    <row r="917" ht="15.75" customHeight="1" spans="2:2">
      <c r="B917" s="90"/>
    </row>
    <row r="918" ht="15.75" customHeight="1" spans="2:2">
      <c r="B918" s="90"/>
    </row>
    <row r="919" ht="15.75" customHeight="1" spans="2:2">
      <c r="B919" s="90"/>
    </row>
    <row r="920" ht="15.75" customHeight="1" spans="2:2">
      <c r="B920" s="90"/>
    </row>
    <row r="921" ht="15.75" customHeight="1" spans="2:2">
      <c r="B921" s="90"/>
    </row>
    <row r="922" ht="15.75" customHeight="1" spans="2:2">
      <c r="B922" s="90"/>
    </row>
    <row r="923" ht="15.75" customHeight="1" spans="2:2">
      <c r="B923" s="90"/>
    </row>
    <row r="924" ht="15.75" customHeight="1" spans="2:2">
      <c r="B924" s="90"/>
    </row>
    <row r="925" ht="15.75" customHeight="1" spans="2:2">
      <c r="B925" s="90"/>
    </row>
    <row r="926" ht="15.75" customHeight="1" spans="2:2">
      <c r="B926" s="90"/>
    </row>
    <row r="927" ht="15.75" customHeight="1" spans="2:2">
      <c r="B927" s="90"/>
    </row>
    <row r="928" ht="15.75" customHeight="1" spans="2:2">
      <c r="B928" s="90"/>
    </row>
    <row r="929" ht="15.75" customHeight="1" spans="2:2">
      <c r="B929" s="90"/>
    </row>
    <row r="930" ht="15.75" customHeight="1" spans="2:2">
      <c r="B930" s="90"/>
    </row>
    <row r="931" ht="15.75" customHeight="1" spans="2:2">
      <c r="B931" s="90"/>
    </row>
    <row r="932" ht="15.75" customHeight="1" spans="2:2">
      <c r="B932" s="90"/>
    </row>
    <row r="933" ht="15.75" customHeight="1" spans="2:2">
      <c r="B933" s="90"/>
    </row>
    <row r="934" ht="15.75" customHeight="1" spans="2:2">
      <c r="B934" s="90"/>
    </row>
    <row r="935" ht="15.75" customHeight="1" spans="2:2">
      <c r="B935" s="90"/>
    </row>
    <row r="936" ht="15.75" customHeight="1" spans="2:2">
      <c r="B936" s="90"/>
    </row>
    <row r="937" ht="15.75" customHeight="1" spans="2:2">
      <c r="B937" s="90"/>
    </row>
    <row r="938" ht="15.75" customHeight="1" spans="2:2">
      <c r="B938" s="90"/>
    </row>
    <row r="939" ht="15.75" customHeight="1" spans="2:2">
      <c r="B939" s="90"/>
    </row>
    <row r="940" ht="15.75" customHeight="1" spans="2:2">
      <c r="B940" s="90"/>
    </row>
    <row r="941" ht="15.75" customHeight="1" spans="2:2">
      <c r="B941" s="90"/>
    </row>
    <row r="942" ht="15.75" customHeight="1" spans="2:2">
      <c r="B942" s="90"/>
    </row>
    <row r="943" ht="15.75" customHeight="1" spans="2:2">
      <c r="B943" s="90"/>
    </row>
    <row r="944" ht="15.75" customHeight="1" spans="2:2">
      <c r="B944" s="90"/>
    </row>
    <row r="945" ht="15.75" customHeight="1" spans="2:2">
      <c r="B945" s="90"/>
    </row>
    <row r="946" ht="15.75" customHeight="1" spans="2:2">
      <c r="B946" s="90"/>
    </row>
    <row r="947" ht="15.75" customHeight="1" spans="2:2">
      <c r="B947" s="90"/>
    </row>
    <row r="948" ht="15.75" customHeight="1" spans="2:2">
      <c r="B948" s="90"/>
    </row>
    <row r="949" ht="15.75" customHeight="1" spans="2:2">
      <c r="B949" s="90"/>
    </row>
    <row r="950" ht="15.75" customHeight="1" spans="2:2">
      <c r="B950" s="90"/>
    </row>
    <row r="951" ht="15.75" customHeight="1" spans="2:2">
      <c r="B951" s="90"/>
    </row>
    <row r="952" ht="15.75" customHeight="1" spans="2:2">
      <c r="B952" s="90"/>
    </row>
    <row r="953" ht="15.75" customHeight="1" spans="2:2">
      <c r="B953" s="90"/>
    </row>
    <row r="954" ht="15.75" customHeight="1" spans="2:2">
      <c r="B954" s="90"/>
    </row>
    <row r="955" ht="15.75" customHeight="1" spans="2:2">
      <c r="B955" s="90"/>
    </row>
    <row r="956" ht="15.75" customHeight="1" spans="2:2">
      <c r="B956" s="90"/>
    </row>
    <row r="957" ht="15.75" customHeight="1" spans="2:2">
      <c r="B957" s="90"/>
    </row>
    <row r="958" ht="15.75" customHeight="1" spans="2:2">
      <c r="B958" s="90"/>
    </row>
    <row r="959" ht="15.75" customHeight="1" spans="2:2">
      <c r="B959" s="90"/>
    </row>
    <row r="960" ht="15.75" customHeight="1" spans="2:2">
      <c r="B960" s="90"/>
    </row>
    <row r="961" ht="15.75" customHeight="1" spans="2:2">
      <c r="B961" s="90"/>
    </row>
    <row r="962" ht="15.75" customHeight="1" spans="2:2">
      <c r="B962" s="90"/>
    </row>
    <row r="963" ht="15.75" customHeight="1" spans="2:2">
      <c r="B963" s="90"/>
    </row>
    <row r="964" ht="15.75" customHeight="1" spans="2:2">
      <c r="B964" s="90"/>
    </row>
    <row r="965" ht="15.75" customHeight="1" spans="2:2">
      <c r="B965" s="90"/>
    </row>
    <row r="966" ht="15.75" customHeight="1" spans="2:2">
      <c r="B966" s="90"/>
    </row>
    <row r="967" ht="15.75" customHeight="1" spans="2:2">
      <c r="B967" s="90"/>
    </row>
    <row r="968" ht="15.75" customHeight="1" spans="2:2">
      <c r="B968" s="90"/>
    </row>
    <row r="969" ht="15.75" customHeight="1" spans="2:2">
      <c r="B969" s="90"/>
    </row>
    <row r="970" ht="15.75" customHeight="1" spans="2:2">
      <c r="B970" s="90"/>
    </row>
    <row r="971" ht="15.75" customHeight="1" spans="2:2">
      <c r="B971" s="90"/>
    </row>
    <row r="972" ht="15.75" customHeight="1" spans="2:2">
      <c r="B972" s="90"/>
    </row>
    <row r="973" ht="15.75" customHeight="1" spans="2:2">
      <c r="B973" s="90"/>
    </row>
    <row r="974" ht="15.75" customHeight="1" spans="2:2">
      <c r="B974" s="90"/>
    </row>
    <row r="975" ht="15.75" customHeight="1" spans="2:2">
      <c r="B975" s="90"/>
    </row>
    <row r="976" ht="15.75" customHeight="1" spans="2:2">
      <c r="B976" s="90"/>
    </row>
    <row r="977" ht="15.75" customHeight="1" spans="2:2">
      <c r="B977" s="90"/>
    </row>
    <row r="978" ht="15.75" customHeight="1" spans="2:2">
      <c r="B978" s="90"/>
    </row>
    <row r="979" ht="15.75" customHeight="1" spans="2:2">
      <c r="B979" s="90"/>
    </row>
    <row r="980" ht="15.75" customHeight="1" spans="2:2">
      <c r="B980" s="90"/>
    </row>
    <row r="981" ht="15.75" customHeight="1" spans="2:2">
      <c r="B981" s="90"/>
    </row>
    <row r="982" ht="15.75" customHeight="1" spans="2:2">
      <c r="B982" s="90"/>
    </row>
    <row r="983" ht="15.75" customHeight="1" spans="2:2">
      <c r="B983" s="90"/>
    </row>
    <row r="984" ht="15.75" customHeight="1" spans="2:2">
      <c r="B984" s="90"/>
    </row>
    <row r="985" ht="15.75" customHeight="1" spans="2:2">
      <c r="B985" s="90"/>
    </row>
    <row r="986" ht="15.75" customHeight="1" spans="2:2">
      <c r="B986" s="90"/>
    </row>
    <row r="987" ht="15.75" customHeight="1" spans="2:2">
      <c r="B987" s="90"/>
    </row>
    <row r="988" ht="15.75" customHeight="1" spans="2:2">
      <c r="B988" s="90"/>
    </row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M1"/>
    <mergeCell ref="A2:M2"/>
    <mergeCell ref="A3:M3"/>
    <mergeCell ref="C7:J7"/>
    <mergeCell ref="C8:J8"/>
    <mergeCell ref="C9:J9"/>
    <mergeCell ref="C10:J10"/>
    <mergeCell ref="D12:M12"/>
    <mergeCell ref="A12:A13"/>
    <mergeCell ref="B12:B13"/>
    <mergeCell ref="C12:C13"/>
    <mergeCell ref="A4:M5"/>
  </mergeCells>
  <printOptions horizontalCentered="1"/>
  <pageMargins left="0.7" right="0.7" top="0.75" bottom="0.75" header="0" footer="0"/>
  <pageSetup paperSize="9" scale="8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00"/>
  <sheetViews>
    <sheetView tabSelected="1" zoomScale="70" zoomScaleNormal="70" topLeftCell="A50" workbookViewId="0">
      <selection activeCell="M56" sqref="M56"/>
    </sheetView>
  </sheetViews>
  <sheetFormatPr defaultColWidth="12.6" defaultRowHeight="15" customHeight="1"/>
  <cols>
    <col min="1" max="1" width="4.5" customWidth="1"/>
    <col min="2" max="2" width="17.8" customWidth="1"/>
    <col min="3" max="3" width="41.7" customWidth="1"/>
    <col min="4" max="4" width="10.5" customWidth="1"/>
    <col min="5" max="5" width="11.2" customWidth="1"/>
    <col min="6" max="6" width="18.5" customWidth="1"/>
    <col min="7" max="13" width="10.7" customWidth="1"/>
    <col min="14" max="14" width="7.7" customWidth="1"/>
    <col min="15" max="15" width="8.5" customWidth="1"/>
    <col min="16" max="16" width="7.7" customWidth="1"/>
    <col min="17" max="17" width="16.2" customWidth="1"/>
    <col min="18" max="27" width="12" customWidth="1"/>
  </cols>
  <sheetData>
    <row r="1" ht="18.75" customHeight="1" spans="1:1">
      <c r="A1" s="2" t="s">
        <v>111</v>
      </c>
    </row>
    <row r="2" ht="18.75" customHeight="1" spans="1:1">
      <c r="A2" s="2" t="s">
        <v>112</v>
      </c>
    </row>
    <row r="3" ht="18.75" customHeight="1" spans="1:1">
      <c r="A3" s="2" t="s">
        <v>2</v>
      </c>
    </row>
    <row r="4" ht="18.5" spans="1:15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45"/>
      <c r="O4" s="2"/>
    </row>
    <row r="5" ht="14.5" spans="14:14">
      <c r="N5" s="46"/>
    </row>
    <row r="6" ht="14.5" spans="1:14">
      <c r="A6" s="4"/>
      <c r="B6" s="5" t="s">
        <v>3</v>
      </c>
      <c r="C6" s="6" t="s">
        <v>4</v>
      </c>
      <c r="D6" s="7"/>
      <c r="E6" s="7"/>
      <c r="F6" s="8" t="s">
        <v>113</v>
      </c>
      <c r="G6" s="8" t="s">
        <v>114</v>
      </c>
      <c r="H6" s="8"/>
      <c r="I6" s="47">
        <v>1</v>
      </c>
      <c r="J6" s="17"/>
      <c r="K6" s="48" t="s">
        <v>115</v>
      </c>
      <c r="L6" s="49"/>
      <c r="M6" s="118" t="s">
        <v>114</v>
      </c>
      <c r="N6" s="50">
        <v>8</v>
      </c>
    </row>
    <row r="7" ht="14.5" spans="1:9">
      <c r="A7" s="4"/>
      <c r="B7" s="7" t="s">
        <v>7</v>
      </c>
      <c r="C7" s="9" t="s">
        <v>8</v>
      </c>
      <c r="D7" s="7"/>
      <c r="E7" s="7"/>
      <c r="F7" s="10" t="s">
        <v>116</v>
      </c>
      <c r="G7" s="11"/>
      <c r="H7" s="11"/>
      <c r="I7" s="49"/>
    </row>
    <row r="8" ht="14.5" spans="1:14">
      <c r="A8" s="4"/>
      <c r="B8" s="7" t="s">
        <v>11</v>
      </c>
      <c r="C8" s="9" t="s">
        <v>12</v>
      </c>
      <c r="D8" s="7"/>
      <c r="E8" s="7"/>
      <c r="F8" s="12" t="s">
        <v>117</v>
      </c>
      <c r="G8" s="12" t="s">
        <v>114</v>
      </c>
      <c r="H8" s="12"/>
      <c r="I8" s="51">
        <v>0.1</v>
      </c>
      <c r="J8" s="52" t="s">
        <v>118</v>
      </c>
      <c r="K8" s="53"/>
      <c r="L8" s="53"/>
      <c r="M8" s="53"/>
      <c r="N8" s="53"/>
    </row>
    <row r="9" ht="14.5" spans="1:14">
      <c r="A9" s="4"/>
      <c r="B9" s="7" t="s">
        <v>13</v>
      </c>
      <c r="C9" s="9" t="s">
        <v>119</v>
      </c>
      <c r="D9" s="7"/>
      <c r="E9" s="7"/>
      <c r="F9" s="13" t="s">
        <v>120</v>
      </c>
      <c r="G9" s="13" t="s">
        <v>114</v>
      </c>
      <c r="H9" s="13"/>
      <c r="I9" s="54">
        <v>0.35</v>
      </c>
      <c r="J9" s="55"/>
      <c r="N9" s="53"/>
    </row>
    <row r="10" ht="14.5" spans="1:14">
      <c r="A10" s="4"/>
      <c r="B10" s="7"/>
      <c r="C10" s="9"/>
      <c r="D10" s="7"/>
      <c r="E10" s="7"/>
      <c r="F10" s="13" t="s">
        <v>121</v>
      </c>
      <c r="G10" s="13" t="s">
        <v>114</v>
      </c>
      <c r="H10" s="13"/>
      <c r="I10" s="54">
        <v>0.15</v>
      </c>
      <c r="J10" s="55"/>
      <c r="K10" s="53"/>
      <c r="L10" s="53"/>
      <c r="M10" s="53"/>
      <c r="N10" s="53"/>
    </row>
    <row r="11" ht="14.5" spans="1:9">
      <c r="A11" s="14"/>
      <c r="B11" s="15"/>
      <c r="C11" s="16"/>
      <c r="D11" s="17"/>
      <c r="E11" s="17"/>
      <c r="F11" s="13" t="s">
        <v>122</v>
      </c>
      <c r="G11" s="13" t="s">
        <v>114</v>
      </c>
      <c r="H11" s="13"/>
      <c r="I11" s="54">
        <v>0.2</v>
      </c>
    </row>
    <row r="12" ht="14.25" customHeight="1" spans="6:9">
      <c r="F12" s="13" t="s">
        <v>123</v>
      </c>
      <c r="G12" s="13" t="s">
        <v>114</v>
      </c>
      <c r="H12" s="13"/>
      <c r="I12" s="54">
        <v>0.2</v>
      </c>
    </row>
    <row r="13" ht="28.5" customHeight="1"/>
    <row r="14" ht="14.5" spans="1:22">
      <c r="A14" s="18" t="s">
        <v>124</v>
      </c>
      <c r="B14" s="19" t="s">
        <v>55</v>
      </c>
      <c r="C14" s="19" t="s">
        <v>56</v>
      </c>
      <c r="D14" s="20" t="s">
        <v>58</v>
      </c>
      <c r="E14" s="20" t="s">
        <v>125</v>
      </c>
      <c r="F14" s="19" t="s">
        <v>59</v>
      </c>
      <c r="G14" s="21" t="s">
        <v>126</v>
      </c>
      <c r="H14" s="22"/>
      <c r="I14" s="22"/>
      <c r="J14" s="22"/>
      <c r="K14" s="22"/>
      <c r="L14" s="22"/>
      <c r="M14" s="22"/>
      <c r="N14" s="56"/>
      <c r="O14" s="57" t="s">
        <v>127</v>
      </c>
      <c r="P14" s="57" t="s">
        <v>128</v>
      </c>
      <c r="Q14" s="57" t="s">
        <v>129</v>
      </c>
      <c r="R14" s="19" t="s">
        <v>123</v>
      </c>
      <c r="S14" s="20" t="s">
        <v>130</v>
      </c>
      <c r="T14" s="20" t="s">
        <v>131</v>
      </c>
      <c r="U14" s="67" t="s">
        <v>132</v>
      </c>
      <c r="V14" s="67" t="s">
        <v>133</v>
      </c>
    </row>
    <row r="15" ht="14.5" spans="1:22">
      <c r="A15" s="23"/>
      <c r="B15" s="24"/>
      <c r="C15" s="24"/>
      <c r="D15" s="23"/>
      <c r="E15" s="23"/>
      <c r="F15" s="23"/>
      <c r="G15" s="25" t="s">
        <v>134</v>
      </c>
      <c r="H15" s="26" t="s">
        <v>135</v>
      </c>
      <c r="I15" s="26" t="s">
        <v>136</v>
      </c>
      <c r="J15" s="26" t="s">
        <v>137</v>
      </c>
      <c r="K15" s="26" t="s">
        <v>138</v>
      </c>
      <c r="L15" s="26" t="s">
        <v>139</v>
      </c>
      <c r="M15" s="26" t="s">
        <v>140</v>
      </c>
      <c r="N15" s="58" t="s">
        <v>141</v>
      </c>
      <c r="O15" s="59"/>
      <c r="P15" s="59"/>
      <c r="Q15" s="59"/>
      <c r="R15" s="68"/>
      <c r="S15" s="59"/>
      <c r="T15" s="59"/>
      <c r="U15" s="69"/>
      <c r="V15" s="69"/>
    </row>
    <row r="16" ht="15.5" spans="1:22">
      <c r="A16" s="27">
        <v>1</v>
      </c>
      <c r="B16" s="28">
        <v>243510579</v>
      </c>
      <c r="C16" s="28" t="s">
        <v>60</v>
      </c>
      <c r="D16" s="29">
        <v>6</v>
      </c>
      <c r="E16" s="30">
        <f t="shared" ref="E16:E51" si="0">(D16/$N$6)*$I$8*100</f>
        <v>7.5</v>
      </c>
      <c r="F16" s="31" t="s">
        <v>64</v>
      </c>
      <c r="G16" s="32">
        <v>90</v>
      </c>
      <c r="H16" s="33">
        <v>83</v>
      </c>
      <c r="I16" s="33">
        <v>60</v>
      </c>
      <c r="J16" s="33">
        <v>30</v>
      </c>
      <c r="K16" s="33">
        <v>90</v>
      </c>
      <c r="L16" s="33">
        <v>89</v>
      </c>
      <c r="M16" s="33">
        <v>83</v>
      </c>
      <c r="N16" s="60">
        <v>90</v>
      </c>
      <c r="O16" s="30">
        <f>AVERAGE(G16:L16)*$I$9</f>
        <v>25.7833333333333</v>
      </c>
      <c r="P16" s="30">
        <f>AVERAGE(M16)*$I$10</f>
        <v>12.45</v>
      </c>
      <c r="Q16" s="30">
        <f>AVERAGE(N16)*$I$11</f>
        <v>18</v>
      </c>
      <c r="R16" s="33">
        <v>48</v>
      </c>
      <c r="S16" s="30">
        <f>R16*$I$12</f>
        <v>9.6</v>
      </c>
      <c r="T16" s="70">
        <f>SUM(E16,O16,S16,P16,Q16)</f>
        <v>73.3333333333333</v>
      </c>
      <c r="U16" s="71" t="str">
        <f>IF(T16&gt;80,"A",IF(T16&gt;75,"A-",IF(T16&gt;70,"B+",IF(T16&gt;60,"B",IF(T16&gt;55,"B-",IF(T16&gt;50,"C+",IF(T16&gt;40,"C",IF(T16&gt;35,"C-",IF(T16&gt;30,"D","E")))))))))</f>
        <v>B+</v>
      </c>
      <c r="V16" s="72" t="str">
        <f t="shared" ref="V16:V51" si="1">IF(U16="A","BAIK SEKALI",IF(U16="A-","BAIK SEKALI",IF(U16="B+","BAIK",IF(U16="B","BAIK",IF(U16="B-","CUKUP BAIK",IF(U16="C+","CUKUP",IF(U16="C","KURANG",IF(U16="C-","KURANG BAIK",IF(U16="D","KURANG SEKALI",IF(U16="E","GAGAL"))))))))))</f>
        <v>BAIK</v>
      </c>
    </row>
    <row r="17" ht="15.5" spans="1:22">
      <c r="A17" s="27">
        <v>2</v>
      </c>
      <c r="B17" s="28">
        <v>243510470</v>
      </c>
      <c r="C17" s="28" t="s">
        <v>66</v>
      </c>
      <c r="D17" s="29">
        <v>7</v>
      </c>
      <c r="E17" s="30">
        <f t="shared" si="0"/>
        <v>8.75</v>
      </c>
      <c r="F17" s="31" t="s">
        <v>67</v>
      </c>
      <c r="G17" s="32">
        <v>90</v>
      </c>
      <c r="H17" s="33">
        <v>87</v>
      </c>
      <c r="I17" s="34">
        <v>86</v>
      </c>
      <c r="J17" s="34">
        <v>90</v>
      </c>
      <c r="K17" s="60">
        <v>90</v>
      </c>
      <c r="L17" s="33">
        <v>88</v>
      </c>
      <c r="M17" s="33">
        <v>80</v>
      </c>
      <c r="N17" s="60">
        <v>90</v>
      </c>
      <c r="O17" s="30">
        <f t="shared" ref="O17:O51" si="2">AVERAGE(G17:L17)*$I$9</f>
        <v>30.975</v>
      </c>
      <c r="P17" s="30">
        <f t="shared" ref="P17:P51" si="3">AVERAGE(M17)*$I$10</f>
        <v>12</v>
      </c>
      <c r="Q17" s="30">
        <f t="shared" ref="Q17:Q51" si="4">AVERAGE(N17)*$I$11</f>
        <v>18</v>
      </c>
      <c r="R17" s="33">
        <v>55</v>
      </c>
      <c r="S17" s="30">
        <f t="shared" ref="S17:S51" si="5">R17*$I$12</f>
        <v>11</v>
      </c>
      <c r="T17" s="70">
        <f t="shared" ref="T17:T51" si="6">SUM(E17,O17,S17,P17,Q17)</f>
        <v>80.725</v>
      </c>
      <c r="U17" s="71" t="str">
        <f>IF(T17&gt;80,"A",IF(T17&gt;75,"A-",IF(T17&gt;70,"B+",IF(T17&gt;60,"B",IF(T17&gt;55,"B-",IF(T17&gt;50,"C+",IF(T17&gt;40,"C",IF(T17&gt;35,"C-",IF(T17&gt;30,"D","E")))))))))</f>
        <v>A</v>
      </c>
      <c r="V17" s="72" t="str">
        <f t="shared" si="1"/>
        <v>BAIK SEKALI</v>
      </c>
    </row>
    <row r="18" ht="15.5" spans="1:22">
      <c r="A18" s="27">
        <v>3</v>
      </c>
      <c r="B18" s="28">
        <v>243510725</v>
      </c>
      <c r="C18" s="28" t="s">
        <v>68</v>
      </c>
      <c r="D18" s="29">
        <v>8</v>
      </c>
      <c r="E18" s="30">
        <f t="shared" si="0"/>
        <v>10</v>
      </c>
      <c r="F18" s="31"/>
      <c r="G18" s="32">
        <v>90</v>
      </c>
      <c r="H18" s="34">
        <v>87</v>
      </c>
      <c r="I18" s="33">
        <v>88</v>
      </c>
      <c r="J18" s="33">
        <v>88</v>
      </c>
      <c r="K18" s="34">
        <v>85</v>
      </c>
      <c r="L18" s="34">
        <v>75</v>
      </c>
      <c r="M18" s="34">
        <v>86</v>
      </c>
      <c r="N18" s="61">
        <v>85</v>
      </c>
      <c r="O18" s="30">
        <f t="shared" si="2"/>
        <v>29.925</v>
      </c>
      <c r="P18" s="30">
        <f t="shared" si="3"/>
        <v>12.9</v>
      </c>
      <c r="Q18" s="30">
        <f t="shared" si="4"/>
        <v>17</v>
      </c>
      <c r="R18" s="34">
        <v>55</v>
      </c>
      <c r="S18" s="30">
        <f t="shared" si="5"/>
        <v>11</v>
      </c>
      <c r="T18" s="70">
        <f t="shared" si="6"/>
        <v>80.825</v>
      </c>
      <c r="U18" s="71" t="str">
        <f t="shared" ref="U18:U51" si="7">IF(T18&gt;80,"A",IF(T18&gt;75,"A-",IF(T18&gt;70,"B+",IF(T18&gt;60,"B",IF(T18&gt;55,"B-",IF(T18&gt;50,"C+",IF(T18&gt;40,"C",IF(T18&gt;35,"C-",IF(T18&gt;30,"D","E")))))))))</f>
        <v>A</v>
      </c>
      <c r="V18" s="72" t="str">
        <f t="shared" si="1"/>
        <v>BAIK SEKALI</v>
      </c>
    </row>
    <row r="19" ht="15.5" spans="1:22">
      <c r="A19" s="27">
        <v>4</v>
      </c>
      <c r="B19" s="28">
        <v>243510126</v>
      </c>
      <c r="C19" s="28" t="s">
        <v>69</v>
      </c>
      <c r="D19" s="29">
        <v>6</v>
      </c>
      <c r="E19" s="30">
        <f t="shared" si="0"/>
        <v>7.5</v>
      </c>
      <c r="F19" s="31" t="s">
        <v>70</v>
      </c>
      <c r="G19" s="32">
        <v>90</v>
      </c>
      <c r="H19" s="33">
        <v>80</v>
      </c>
      <c r="I19" s="62">
        <v>60</v>
      </c>
      <c r="J19" s="62">
        <v>30</v>
      </c>
      <c r="K19" s="33">
        <v>70</v>
      </c>
      <c r="L19" s="33">
        <v>70</v>
      </c>
      <c r="M19" s="33">
        <v>82</v>
      </c>
      <c r="N19" s="60">
        <v>70</v>
      </c>
      <c r="O19" s="30">
        <f t="shared" si="2"/>
        <v>23.3333333333333</v>
      </c>
      <c r="P19" s="30">
        <f t="shared" si="3"/>
        <v>12.3</v>
      </c>
      <c r="Q19" s="30">
        <f t="shared" si="4"/>
        <v>14</v>
      </c>
      <c r="R19" s="33">
        <v>65</v>
      </c>
      <c r="S19" s="30">
        <f t="shared" si="5"/>
        <v>13</v>
      </c>
      <c r="T19" s="70">
        <f t="shared" si="6"/>
        <v>70.1333333333333</v>
      </c>
      <c r="U19" s="71" t="str">
        <f t="shared" si="7"/>
        <v>B+</v>
      </c>
      <c r="V19" s="72" t="str">
        <f t="shared" si="1"/>
        <v>BAIK</v>
      </c>
    </row>
    <row r="20" ht="15.75" customHeight="1" spans="1:22">
      <c r="A20" s="27">
        <v>5</v>
      </c>
      <c r="B20" s="28">
        <v>243510632</v>
      </c>
      <c r="C20" s="28" t="s">
        <v>71</v>
      </c>
      <c r="D20" s="29">
        <v>8</v>
      </c>
      <c r="E20" s="30">
        <f t="shared" si="0"/>
        <v>10</v>
      </c>
      <c r="F20" s="31"/>
      <c r="G20" s="32">
        <v>90</v>
      </c>
      <c r="H20" s="33">
        <v>85</v>
      </c>
      <c r="I20" s="33">
        <v>89</v>
      </c>
      <c r="J20" s="33">
        <v>80</v>
      </c>
      <c r="K20" s="33">
        <v>90</v>
      </c>
      <c r="L20" s="33">
        <v>88</v>
      </c>
      <c r="M20" s="33">
        <v>87</v>
      </c>
      <c r="N20" s="60">
        <v>90</v>
      </c>
      <c r="O20" s="30">
        <f t="shared" si="2"/>
        <v>30.45</v>
      </c>
      <c r="P20" s="30">
        <f t="shared" si="3"/>
        <v>13.05</v>
      </c>
      <c r="Q20" s="30">
        <f t="shared" si="4"/>
        <v>18</v>
      </c>
      <c r="R20" s="33">
        <v>55</v>
      </c>
      <c r="S20" s="30">
        <f t="shared" si="5"/>
        <v>11</v>
      </c>
      <c r="T20" s="70">
        <f t="shared" si="6"/>
        <v>82.5</v>
      </c>
      <c r="U20" s="71" t="str">
        <f t="shared" si="7"/>
        <v>A</v>
      </c>
      <c r="V20" s="72" t="str">
        <f t="shared" si="1"/>
        <v>BAIK SEKALI</v>
      </c>
    </row>
    <row r="21" ht="15.75" customHeight="1" spans="1:22">
      <c r="A21" s="27">
        <v>6</v>
      </c>
      <c r="B21" s="28">
        <v>243510481</v>
      </c>
      <c r="C21" s="28" t="s">
        <v>72</v>
      </c>
      <c r="D21" s="29">
        <v>8</v>
      </c>
      <c r="E21" s="30">
        <f t="shared" si="0"/>
        <v>10</v>
      </c>
      <c r="F21" s="31"/>
      <c r="G21" s="32">
        <v>90</v>
      </c>
      <c r="H21" s="33">
        <v>87</v>
      </c>
      <c r="I21" s="33">
        <v>95</v>
      </c>
      <c r="J21" s="33">
        <v>90</v>
      </c>
      <c r="K21" s="33">
        <v>90</v>
      </c>
      <c r="L21" s="33">
        <v>88</v>
      </c>
      <c r="M21" s="33">
        <v>81</v>
      </c>
      <c r="N21" s="60">
        <v>90</v>
      </c>
      <c r="O21" s="30">
        <f t="shared" si="2"/>
        <v>31.5</v>
      </c>
      <c r="P21" s="30">
        <f t="shared" si="3"/>
        <v>12.15</v>
      </c>
      <c r="Q21" s="30">
        <f t="shared" si="4"/>
        <v>18</v>
      </c>
      <c r="R21" s="33">
        <v>75</v>
      </c>
      <c r="S21" s="30">
        <f t="shared" si="5"/>
        <v>15</v>
      </c>
      <c r="T21" s="70">
        <f t="shared" si="6"/>
        <v>86.65</v>
      </c>
      <c r="U21" s="71" t="str">
        <f t="shared" si="7"/>
        <v>A</v>
      </c>
      <c r="V21" s="72" t="str">
        <f t="shared" si="1"/>
        <v>BAIK SEKALI</v>
      </c>
    </row>
    <row r="22" ht="15.75" customHeight="1" spans="1:22">
      <c r="A22" s="27">
        <v>7</v>
      </c>
      <c r="B22" s="28">
        <v>243510398</v>
      </c>
      <c r="C22" s="28" t="s">
        <v>73</v>
      </c>
      <c r="D22" s="29">
        <v>8</v>
      </c>
      <c r="E22" s="30">
        <f t="shared" si="0"/>
        <v>10</v>
      </c>
      <c r="F22" s="31"/>
      <c r="G22" s="32">
        <v>90</v>
      </c>
      <c r="H22" s="33">
        <v>86</v>
      </c>
      <c r="I22" s="33">
        <v>90</v>
      </c>
      <c r="J22" s="33">
        <v>88</v>
      </c>
      <c r="K22" s="33">
        <v>92</v>
      </c>
      <c r="L22" s="33">
        <v>90</v>
      </c>
      <c r="M22" s="33">
        <v>85</v>
      </c>
      <c r="N22" s="60">
        <v>92</v>
      </c>
      <c r="O22" s="30">
        <f t="shared" si="2"/>
        <v>31.2666666666667</v>
      </c>
      <c r="P22" s="30">
        <f t="shared" si="3"/>
        <v>12.75</v>
      </c>
      <c r="Q22" s="30">
        <f t="shared" si="4"/>
        <v>18.4</v>
      </c>
      <c r="R22" s="33">
        <v>65</v>
      </c>
      <c r="S22" s="30">
        <f t="shared" si="5"/>
        <v>13</v>
      </c>
      <c r="T22" s="70">
        <f t="shared" si="6"/>
        <v>85.4166666666667</v>
      </c>
      <c r="U22" s="71" t="str">
        <f t="shared" si="7"/>
        <v>A</v>
      </c>
      <c r="V22" s="72" t="str">
        <f t="shared" si="1"/>
        <v>BAIK SEKALI</v>
      </c>
    </row>
    <row r="23" ht="15.75" customHeight="1" spans="1:22">
      <c r="A23" s="27">
        <v>8</v>
      </c>
      <c r="B23" s="28">
        <v>243510447</v>
      </c>
      <c r="C23" s="28" t="s">
        <v>74</v>
      </c>
      <c r="D23" s="29">
        <v>6</v>
      </c>
      <c r="E23" s="30">
        <f t="shared" si="0"/>
        <v>7.5</v>
      </c>
      <c r="F23" s="31" t="s">
        <v>64</v>
      </c>
      <c r="G23" s="32">
        <v>90</v>
      </c>
      <c r="H23" s="33">
        <v>85</v>
      </c>
      <c r="I23" s="33">
        <v>87</v>
      </c>
      <c r="J23" s="33">
        <v>83</v>
      </c>
      <c r="K23" s="33">
        <v>0</v>
      </c>
      <c r="L23" s="33">
        <v>0</v>
      </c>
      <c r="M23" s="33">
        <v>84</v>
      </c>
      <c r="N23" s="60">
        <v>30</v>
      </c>
      <c r="O23" s="30">
        <f t="shared" si="2"/>
        <v>20.125</v>
      </c>
      <c r="P23" s="30">
        <f t="shared" si="3"/>
        <v>12.6</v>
      </c>
      <c r="Q23" s="30">
        <f t="shared" si="4"/>
        <v>6</v>
      </c>
      <c r="R23" s="33">
        <v>75</v>
      </c>
      <c r="S23" s="30">
        <f t="shared" si="5"/>
        <v>15</v>
      </c>
      <c r="T23" s="70">
        <f t="shared" si="6"/>
        <v>61.225</v>
      </c>
      <c r="U23" s="71" t="str">
        <f t="shared" si="7"/>
        <v>B</v>
      </c>
      <c r="V23" s="72" t="str">
        <f t="shared" si="1"/>
        <v>BAIK</v>
      </c>
    </row>
    <row r="24" ht="15.75" customHeight="1" spans="1:22">
      <c r="A24" s="27">
        <v>9</v>
      </c>
      <c r="B24" s="28">
        <v>243510587</v>
      </c>
      <c r="C24" s="28" t="s">
        <v>76</v>
      </c>
      <c r="D24" s="29">
        <v>8</v>
      </c>
      <c r="E24" s="30">
        <f t="shared" si="0"/>
        <v>10</v>
      </c>
      <c r="F24" s="31"/>
      <c r="G24" s="32">
        <v>90</v>
      </c>
      <c r="H24" s="33">
        <v>88</v>
      </c>
      <c r="I24" s="33">
        <v>85</v>
      </c>
      <c r="J24" s="33">
        <v>83</v>
      </c>
      <c r="K24" s="33">
        <v>95</v>
      </c>
      <c r="L24" s="33">
        <v>82</v>
      </c>
      <c r="M24" s="33">
        <v>80</v>
      </c>
      <c r="N24" s="60">
        <v>95</v>
      </c>
      <c r="O24" s="30">
        <f t="shared" si="2"/>
        <v>30.5083333333333</v>
      </c>
      <c r="P24" s="30">
        <f t="shared" si="3"/>
        <v>12</v>
      </c>
      <c r="Q24" s="30">
        <f t="shared" si="4"/>
        <v>19</v>
      </c>
      <c r="R24" s="33">
        <v>70</v>
      </c>
      <c r="S24" s="30">
        <f t="shared" si="5"/>
        <v>14</v>
      </c>
      <c r="T24" s="70">
        <f t="shared" si="6"/>
        <v>85.5083333333333</v>
      </c>
      <c r="U24" s="71" t="str">
        <f t="shared" si="7"/>
        <v>A</v>
      </c>
      <c r="V24" s="72" t="str">
        <f t="shared" si="1"/>
        <v>BAIK SEKALI</v>
      </c>
    </row>
    <row r="25" ht="15.75" customHeight="1" spans="1:22">
      <c r="A25" s="27">
        <v>10</v>
      </c>
      <c r="B25" s="28">
        <v>243510744</v>
      </c>
      <c r="C25" s="28" t="s">
        <v>77</v>
      </c>
      <c r="D25" s="29">
        <v>7</v>
      </c>
      <c r="E25" s="30">
        <f t="shared" si="0"/>
        <v>8.75</v>
      </c>
      <c r="F25" s="31" t="s">
        <v>78</v>
      </c>
      <c r="G25" s="32">
        <v>90</v>
      </c>
      <c r="H25" s="33">
        <v>87</v>
      </c>
      <c r="I25" s="33">
        <v>90</v>
      </c>
      <c r="J25" s="33">
        <v>95</v>
      </c>
      <c r="K25" s="33">
        <v>95</v>
      </c>
      <c r="L25" s="33">
        <v>90</v>
      </c>
      <c r="M25" s="33">
        <v>86</v>
      </c>
      <c r="N25" s="60">
        <v>95</v>
      </c>
      <c r="O25" s="30">
        <f t="shared" si="2"/>
        <v>31.9083333333333</v>
      </c>
      <c r="P25" s="30">
        <f t="shared" si="3"/>
        <v>12.9</v>
      </c>
      <c r="Q25" s="30">
        <f t="shared" si="4"/>
        <v>19</v>
      </c>
      <c r="R25" s="33">
        <v>70</v>
      </c>
      <c r="S25" s="30">
        <f t="shared" si="5"/>
        <v>14</v>
      </c>
      <c r="T25" s="70">
        <f t="shared" si="6"/>
        <v>86.5583333333333</v>
      </c>
      <c r="U25" s="71" t="str">
        <f t="shared" si="7"/>
        <v>A</v>
      </c>
      <c r="V25" s="72" t="str">
        <f t="shared" si="1"/>
        <v>BAIK SEKALI</v>
      </c>
    </row>
    <row r="26" ht="15.75" customHeight="1" spans="1:22">
      <c r="A26" s="27">
        <v>11</v>
      </c>
      <c r="B26" s="28">
        <v>243510438</v>
      </c>
      <c r="C26" s="28" t="s">
        <v>79</v>
      </c>
      <c r="D26" s="29">
        <v>7</v>
      </c>
      <c r="E26" s="30">
        <f t="shared" si="0"/>
        <v>8.75</v>
      </c>
      <c r="F26" s="31" t="s">
        <v>81</v>
      </c>
      <c r="G26" s="32">
        <v>90</v>
      </c>
      <c r="H26" s="33">
        <v>84</v>
      </c>
      <c r="I26" s="33">
        <v>75</v>
      </c>
      <c r="J26" s="33">
        <v>85</v>
      </c>
      <c r="K26" s="33">
        <v>70</v>
      </c>
      <c r="L26" s="33">
        <v>60</v>
      </c>
      <c r="M26" s="33">
        <v>83</v>
      </c>
      <c r="N26" s="60">
        <v>70</v>
      </c>
      <c r="O26" s="30">
        <f t="shared" si="2"/>
        <v>27.0666666666667</v>
      </c>
      <c r="P26" s="30">
        <f t="shared" si="3"/>
        <v>12.45</v>
      </c>
      <c r="Q26" s="30">
        <f t="shared" si="4"/>
        <v>14</v>
      </c>
      <c r="R26" s="33">
        <v>40</v>
      </c>
      <c r="S26" s="30">
        <f t="shared" si="5"/>
        <v>8</v>
      </c>
      <c r="T26" s="70">
        <f t="shared" si="6"/>
        <v>70.2666666666667</v>
      </c>
      <c r="U26" s="71" t="str">
        <f t="shared" si="7"/>
        <v>B+</v>
      </c>
      <c r="V26" s="72" t="str">
        <f t="shared" si="1"/>
        <v>BAIK</v>
      </c>
    </row>
    <row r="27" ht="15.75" customHeight="1" spans="1:22">
      <c r="A27" s="27">
        <v>12</v>
      </c>
      <c r="B27" s="28">
        <v>223510571</v>
      </c>
      <c r="C27" s="28" t="s">
        <v>82</v>
      </c>
      <c r="D27" s="29">
        <v>5</v>
      </c>
      <c r="E27" s="30">
        <f t="shared" si="0"/>
        <v>6.25</v>
      </c>
      <c r="F27" s="31" t="s">
        <v>83</v>
      </c>
      <c r="G27" s="32">
        <v>90</v>
      </c>
      <c r="H27" s="33">
        <v>82</v>
      </c>
      <c r="I27" s="33">
        <v>65</v>
      </c>
      <c r="J27" s="33">
        <v>90</v>
      </c>
      <c r="K27" s="33">
        <v>95</v>
      </c>
      <c r="L27" s="33">
        <v>80</v>
      </c>
      <c r="M27" s="33">
        <v>82</v>
      </c>
      <c r="N27" s="60">
        <v>95</v>
      </c>
      <c r="O27" s="30">
        <f t="shared" si="2"/>
        <v>29.2833333333333</v>
      </c>
      <c r="P27" s="30">
        <f t="shared" si="3"/>
        <v>12.3</v>
      </c>
      <c r="Q27" s="30">
        <f t="shared" si="4"/>
        <v>19</v>
      </c>
      <c r="R27" s="33">
        <v>75</v>
      </c>
      <c r="S27" s="30">
        <f t="shared" si="5"/>
        <v>15</v>
      </c>
      <c r="T27" s="70">
        <f t="shared" si="6"/>
        <v>81.8333333333333</v>
      </c>
      <c r="U27" s="71" t="str">
        <f t="shared" si="7"/>
        <v>A</v>
      </c>
      <c r="V27" s="72" t="str">
        <f t="shared" si="1"/>
        <v>BAIK SEKALI</v>
      </c>
    </row>
    <row r="28" ht="15.75" customHeight="1" spans="1:22">
      <c r="A28" s="27">
        <v>13</v>
      </c>
      <c r="B28" s="28">
        <v>243510358</v>
      </c>
      <c r="C28" s="28" t="s">
        <v>84</v>
      </c>
      <c r="D28" s="29">
        <v>7</v>
      </c>
      <c r="E28" s="30">
        <f t="shared" si="0"/>
        <v>8.75</v>
      </c>
      <c r="F28" s="31" t="s">
        <v>67</v>
      </c>
      <c r="G28" s="32">
        <v>90</v>
      </c>
      <c r="H28" s="33">
        <v>88</v>
      </c>
      <c r="I28" s="33">
        <v>88</v>
      </c>
      <c r="J28" s="33">
        <v>90</v>
      </c>
      <c r="K28" s="33">
        <v>92</v>
      </c>
      <c r="L28" s="33">
        <v>90</v>
      </c>
      <c r="M28" s="33">
        <v>87</v>
      </c>
      <c r="N28" s="60">
        <v>92</v>
      </c>
      <c r="O28" s="30">
        <f t="shared" si="2"/>
        <v>31.3833333333333</v>
      </c>
      <c r="P28" s="30">
        <f t="shared" si="3"/>
        <v>13.05</v>
      </c>
      <c r="Q28" s="30">
        <f t="shared" si="4"/>
        <v>18.4</v>
      </c>
      <c r="R28" s="33">
        <v>75</v>
      </c>
      <c r="S28" s="30">
        <f t="shared" si="5"/>
        <v>15</v>
      </c>
      <c r="T28" s="70">
        <f t="shared" si="6"/>
        <v>86.5833333333333</v>
      </c>
      <c r="U28" s="71" t="str">
        <f t="shared" si="7"/>
        <v>A</v>
      </c>
      <c r="V28" s="72" t="str">
        <f t="shared" si="1"/>
        <v>BAIK SEKALI</v>
      </c>
    </row>
    <row r="29" ht="15.75" customHeight="1" spans="1:22">
      <c r="A29" s="27">
        <v>14</v>
      </c>
      <c r="B29" s="28">
        <v>243510706</v>
      </c>
      <c r="C29" s="28" t="s">
        <v>85</v>
      </c>
      <c r="D29" s="29">
        <v>8</v>
      </c>
      <c r="E29" s="30">
        <f t="shared" si="0"/>
        <v>10</v>
      </c>
      <c r="F29" s="31"/>
      <c r="G29" s="32">
        <v>90</v>
      </c>
      <c r="H29" s="33">
        <v>88</v>
      </c>
      <c r="I29" s="33">
        <v>85</v>
      </c>
      <c r="J29" s="33">
        <v>90</v>
      </c>
      <c r="K29" s="33">
        <v>95</v>
      </c>
      <c r="L29" s="33">
        <v>85</v>
      </c>
      <c r="M29" s="33">
        <v>81</v>
      </c>
      <c r="N29" s="60">
        <v>95</v>
      </c>
      <c r="O29" s="30">
        <f t="shared" si="2"/>
        <v>31.0916666666667</v>
      </c>
      <c r="P29" s="30">
        <f t="shared" si="3"/>
        <v>12.15</v>
      </c>
      <c r="Q29" s="30">
        <f t="shared" si="4"/>
        <v>19</v>
      </c>
      <c r="R29" s="33">
        <v>90</v>
      </c>
      <c r="S29" s="30">
        <f t="shared" si="5"/>
        <v>18</v>
      </c>
      <c r="T29" s="70">
        <f t="shared" si="6"/>
        <v>90.2416666666667</v>
      </c>
      <c r="U29" s="71" t="str">
        <f t="shared" si="7"/>
        <v>A</v>
      </c>
      <c r="V29" s="72" t="str">
        <f t="shared" si="1"/>
        <v>BAIK SEKALI</v>
      </c>
    </row>
    <row r="30" ht="15.75" customHeight="1" spans="1:22">
      <c r="A30" s="27">
        <v>15</v>
      </c>
      <c r="B30" s="28">
        <v>243510670</v>
      </c>
      <c r="C30" s="28" t="s">
        <v>86</v>
      </c>
      <c r="D30" s="29">
        <v>8</v>
      </c>
      <c r="E30" s="30">
        <f t="shared" si="0"/>
        <v>10</v>
      </c>
      <c r="F30" s="31"/>
      <c r="G30" s="32">
        <v>90</v>
      </c>
      <c r="H30" s="33">
        <v>87</v>
      </c>
      <c r="I30" s="33">
        <v>80</v>
      </c>
      <c r="J30" s="33">
        <v>90</v>
      </c>
      <c r="K30" s="33">
        <v>95</v>
      </c>
      <c r="L30" s="33">
        <v>88</v>
      </c>
      <c r="M30" s="33">
        <v>85</v>
      </c>
      <c r="N30" s="60">
        <v>95</v>
      </c>
      <c r="O30" s="30">
        <f t="shared" si="2"/>
        <v>30.9166666666667</v>
      </c>
      <c r="P30" s="30">
        <f t="shared" si="3"/>
        <v>12.75</v>
      </c>
      <c r="Q30" s="30">
        <f t="shared" si="4"/>
        <v>19</v>
      </c>
      <c r="R30" s="33">
        <v>65</v>
      </c>
      <c r="S30" s="30">
        <f t="shared" si="5"/>
        <v>13</v>
      </c>
      <c r="T30" s="70">
        <f t="shared" si="6"/>
        <v>85.6666666666667</v>
      </c>
      <c r="U30" s="71" t="str">
        <f t="shared" si="7"/>
        <v>A</v>
      </c>
      <c r="V30" s="72" t="str">
        <f t="shared" si="1"/>
        <v>BAIK SEKALI</v>
      </c>
    </row>
    <row r="31" ht="15.75" customHeight="1" spans="1:22">
      <c r="A31" s="27">
        <v>16</v>
      </c>
      <c r="B31" s="28">
        <v>243510671</v>
      </c>
      <c r="C31" s="28" t="s">
        <v>87</v>
      </c>
      <c r="D31" s="29">
        <v>8</v>
      </c>
      <c r="E31" s="30">
        <f t="shared" si="0"/>
        <v>10</v>
      </c>
      <c r="F31" s="31"/>
      <c r="G31" s="32">
        <v>90</v>
      </c>
      <c r="H31" s="33">
        <v>85</v>
      </c>
      <c r="I31" s="33">
        <v>88</v>
      </c>
      <c r="J31" s="33">
        <v>90</v>
      </c>
      <c r="K31" s="33">
        <v>92</v>
      </c>
      <c r="L31" s="33">
        <v>90</v>
      </c>
      <c r="M31" s="33">
        <v>84</v>
      </c>
      <c r="N31" s="60">
        <v>92</v>
      </c>
      <c r="O31" s="30">
        <f t="shared" si="2"/>
        <v>31.2083333333333</v>
      </c>
      <c r="P31" s="30">
        <f t="shared" si="3"/>
        <v>12.6</v>
      </c>
      <c r="Q31" s="30">
        <f t="shared" si="4"/>
        <v>18.4</v>
      </c>
      <c r="R31" s="33">
        <v>70</v>
      </c>
      <c r="S31" s="30">
        <f t="shared" si="5"/>
        <v>14</v>
      </c>
      <c r="T31" s="70">
        <f t="shared" si="6"/>
        <v>86.2083333333333</v>
      </c>
      <c r="U31" s="71" t="str">
        <f t="shared" si="7"/>
        <v>A</v>
      </c>
      <c r="V31" s="72" t="str">
        <f t="shared" si="1"/>
        <v>BAIK SEKALI</v>
      </c>
    </row>
    <row r="32" ht="15.75" customHeight="1" spans="1:22">
      <c r="A32" s="27">
        <v>17</v>
      </c>
      <c r="B32" s="28">
        <v>243510916</v>
      </c>
      <c r="C32" s="28" t="s">
        <v>88</v>
      </c>
      <c r="D32" s="29">
        <v>8</v>
      </c>
      <c r="E32" s="30">
        <f t="shared" si="0"/>
        <v>10</v>
      </c>
      <c r="F32" s="31"/>
      <c r="G32" s="32">
        <v>90</v>
      </c>
      <c r="H32" s="33">
        <v>87</v>
      </c>
      <c r="I32" s="33">
        <v>85</v>
      </c>
      <c r="J32" s="33">
        <v>80</v>
      </c>
      <c r="K32" s="33">
        <v>85</v>
      </c>
      <c r="L32" s="33">
        <v>88</v>
      </c>
      <c r="M32" s="33">
        <v>80</v>
      </c>
      <c r="N32" s="60">
        <v>85</v>
      </c>
      <c r="O32" s="30">
        <f t="shared" si="2"/>
        <v>30.0416666666667</v>
      </c>
      <c r="P32" s="30">
        <f t="shared" si="3"/>
        <v>12</v>
      </c>
      <c r="Q32" s="30">
        <f t="shared" si="4"/>
        <v>17</v>
      </c>
      <c r="R32" s="33">
        <v>75</v>
      </c>
      <c r="S32" s="30">
        <f t="shared" si="5"/>
        <v>15</v>
      </c>
      <c r="T32" s="70">
        <f t="shared" si="6"/>
        <v>84.0416666666667</v>
      </c>
      <c r="U32" s="71" t="str">
        <f t="shared" si="7"/>
        <v>A</v>
      </c>
      <c r="V32" s="72" t="str">
        <f t="shared" si="1"/>
        <v>BAIK SEKALI</v>
      </c>
    </row>
    <row r="33" ht="15.75" customHeight="1" spans="1:22">
      <c r="A33" s="27">
        <v>18</v>
      </c>
      <c r="B33" s="28">
        <v>243510114</v>
      </c>
      <c r="C33" s="28" t="s">
        <v>89</v>
      </c>
      <c r="D33" s="29">
        <v>8</v>
      </c>
      <c r="E33" s="30">
        <f t="shared" si="0"/>
        <v>10</v>
      </c>
      <c r="F33" s="31"/>
      <c r="G33" s="32">
        <v>90</v>
      </c>
      <c r="H33" s="33">
        <v>83</v>
      </c>
      <c r="I33" s="33">
        <v>75</v>
      </c>
      <c r="J33" s="33">
        <v>95</v>
      </c>
      <c r="K33" s="33">
        <v>60</v>
      </c>
      <c r="L33" s="33">
        <v>70</v>
      </c>
      <c r="M33" s="33">
        <v>86</v>
      </c>
      <c r="N33" s="60">
        <v>60</v>
      </c>
      <c r="O33" s="30">
        <f t="shared" si="2"/>
        <v>27.5916666666667</v>
      </c>
      <c r="P33" s="30">
        <f t="shared" si="3"/>
        <v>12.9</v>
      </c>
      <c r="Q33" s="30">
        <f t="shared" si="4"/>
        <v>12</v>
      </c>
      <c r="R33" s="33">
        <v>50</v>
      </c>
      <c r="S33" s="30">
        <f t="shared" si="5"/>
        <v>10</v>
      </c>
      <c r="T33" s="70">
        <f t="shared" si="6"/>
        <v>72.4916666666667</v>
      </c>
      <c r="U33" s="71" t="str">
        <f t="shared" si="7"/>
        <v>B+</v>
      </c>
      <c r="V33" s="72" t="str">
        <f t="shared" si="1"/>
        <v>BAIK</v>
      </c>
    </row>
    <row r="34" s="1" customFormat="1" ht="15.75" customHeight="1" spans="1:22">
      <c r="A34" s="27">
        <v>19</v>
      </c>
      <c r="B34" s="28">
        <v>243510349</v>
      </c>
      <c r="C34" s="28" t="s">
        <v>90</v>
      </c>
      <c r="D34" s="29">
        <v>6</v>
      </c>
      <c r="E34" s="35">
        <f t="shared" si="0"/>
        <v>7.5</v>
      </c>
      <c r="F34" s="31" t="s">
        <v>70</v>
      </c>
      <c r="G34" s="36">
        <v>0</v>
      </c>
      <c r="H34" s="34">
        <v>0</v>
      </c>
      <c r="I34" s="34">
        <v>68</v>
      </c>
      <c r="J34" s="34">
        <v>30</v>
      </c>
      <c r="K34" s="34">
        <v>60</v>
      </c>
      <c r="L34" s="34">
        <v>60</v>
      </c>
      <c r="M34" s="34">
        <v>83</v>
      </c>
      <c r="N34" s="61">
        <v>30</v>
      </c>
      <c r="O34" s="35">
        <f t="shared" si="2"/>
        <v>12.7166666666667</v>
      </c>
      <c r="P34" s="35">
        <f t="shared" si="3"/>
        <v>12.45</v>
      </c>
      <c r="Q34" s="35">
        <f t="shared" si="4"/>
        <v>6</v>
      </c>
      <c r="R34" s="34">
        <v>25</v>
      </c>
      <c r="S34" s="35">
        <f t="shared" si="5"/>
        <v>5</v>
      </c>
      <c r="T34" s="70">
        <f t="shared" si="6"/>
        <v>43.6666666666667</v>
      </c>
      <c r="U34" s="71" t="str">
        <f t="shared" si="7"/>
        <v>C</v>
      </c>
      <c r="V34" s="72" t="str">
        <f t="shared" si="1"/>
        <v>KURANG</v>
      </c>
    </row>
    <row r="35" ht="15.75" customHeight="1" spans="1:22">
      <c r="A35" s="27">
        <v>20</v>
      </c>
      <c r="B35" s="28">
        <v>243510380</v>
      </c>
      <c r="C35" s="28" t="s">
        <v>91</v>
      </c>
      <c r="D35" s="29">
        <v>8</v>
      </c>
      <c r="E35" s="30">
        <f t="shared" si="0"/>
        <v>10</v>
      </c>
      <c r="F35" s="31"/>
      <c r="G35" s="32">
        <v>90</v>
      </c>
      <c r="H35" s="33">
        <v>82</v>
      </c>
      <c r="I35" s="33">
        <v>83</v>
      </c>
      <c r="J35" s="33">
        <v>88</v>
      </c>
      <c r="K35" s="33">
        <v>90</v>
      </c>
      <c r="L35" s="62">
        <v>87</v>
      </c>
      <c r="M35" s="33">
        <v>82</v>
      </c>
      <c r="N35" s="60">
        <v>90</v>
      </c>
      <c r="O35" s="30">
        <f t="shared" si="2"/>
        <v>30.3333333333333</v>
      </c>
      <c r="P35" s="30">
        <f t="shared" si="3"/>
        <v>12.3</v>
      </c>
      <c r="Q35" s="30">
        <f t="shared" si="4"/>
        <v>18</v>
      </c>
      <c r="R35" s="33">
        <v>55</v>
      </c>
      <c r="S35" s="30">
        <f t="shared" si="5"/>
        <v>11</v>
      </c>
      <c r="T35" s="70">
        <f t="shared" si="6"/>
        <v>81.6333333333333</v>
      </c>
      <c r="U35" s="71" t="str">
        <f t="shared" si="7"/>
        <v>A</v>
      </c>
      <c r="V35" s="72" t="str">
        <f t="shared" si="1"/>
        <v>BAIK SEKALI</v>
      </c>
    </row>
    <row r="36" ht="15.75" customHeight="1" spans="1:22">
      <c r="A36" s="27">
        <v>21</v>
      </c>
      <c r="B36" s="28">
        <v>243510617</v>
      </c>
      <c r="C36" s="28" t="s">
        <v>92</v>
      </c>
      <c r="D36" s="29">
        <v>8</v>
      </c>
      <c r="E36" s="30">
        <f t="shared" si="0"/>
        <v>10</v>
      </c>
      <c r="F36" s="31"/>
      <c r="G36" s="32">
        <v>90</v>
      </c>
      <c r="H36" s="33">
        <v>84</v>
      </c>
      <c r="I36" s="33">
        <v>87</v>
      </c>
      <c r="J36" s="33">
        <v>90</v>
      </c>
      <c r="K36" s="33">
        <v>85</v>
      </c>
      <c r="L36" s="33">
        <v>90</v>
      </c>
      <c r="M36" s="33">
        <v>87</v>
      </c>
      <c r="N36" s="60">
        <v>85</v>
      </c>
      <c r="O36" s="30">
        <f t="shared" si="2"/>
        <v>30.6833333333333</v>
      </c>
      <c r="P36" s="30">
        <f t="shared" si="3"/>
        <v>13.05</v>
      </c>
      <c r="Q36" s="30">
        <f t="shared" si="4"/>
        <v>17</v>
      </c>
      <c r="R36" s="33">
        <v>80</v>
      </c>
      <c r="S36" s="30">
        <f t="shared" si="5"/>
        <v>16</v>
      </c>
      <c r="T36" s="70">
        <f t="shared" si="6"/>
        <v>86.7333333333333</v>
      </c>
      <c r="U36" s="71" t="str">
        <f t="shared" si="7"/>
        <v>A</v>
      </c>
      <c r="V36" s="72" t="str">
        <f t="shared" si="1"/>
        <v>BAIK SEKALI</v>
      </c>
    </row>
    <row r="37" ht="15.75" customHeight="1" spans="1:22">
      <c r="A37" s="27">
        <v>22</v>
      </c>
      <c r="B37" s="28">
        <v>243510799</v>
      </c>
      <c r="C37" s="28" t="s">
        <v>93</v>
      </c>
      <c r="D37" s="29">
        <v>8</v>
      </c>
      <c r="E37" s="30">
        <f t="shared" si="0"/>
        <v>10</v>
      </c>
      <c r="F37" s="31"/>
      <c r="G37" s="32">
        <v>90</v>
      </c>
      <c r="H37" s="33">
        <v>88</v>
      </c>
      <c r="I37" s="33">
        <v>90</v>
      </c>
      <c r="J37" s="33">
        <v>70</v>
      </c>
      <c r="K37" s="33">
        <v>80</v>
      </c>
      <c r="L37" s="33">
        <v>88</v>
      </c>
      <c r="M37" s="33">
        <v>81</v>
      </c>
      <c r="N37" s="60">
        <v>80</v>
      </c>
      <c r="O37" s="30">
        <f t="shared" si="2"/>
        <v>29.5166666666667</v>
      </c>
      <c r="P37" s="30">
        <f t="shared" si="3"/>
        <v>12.15</v>
      </c>
      <c r="Q37" s="30">
        <f t="shared" si="4"/>
        <v>16</v>
      </c>
      <c r="R37" s="33">
        <v>75</v>
      </c>
      <c r="S37" s="30">
        <f t="shared" si="5"/>
        <v>15</v>
      </c>
      <c r="T37" s="70">
        <f t="shared" si="6"/>
        <v>82.6666666666667</v>
      </c>
      <c r="U37" s="71" t="str">
        <f t="shared" si="7"/>
        <v>A</v>
      </c>
      <c r="V37" s="72" t="str">
        <f t="shared" si="1"/>
        <v>BAIK SEKALI</v>
      </c>
    </row>
    <row r="38" ht="15.75" customHeight="1" spans="1:22">
      <c r="A38" s="27">
        <v>23</v>
      </c>
      <c r="B38" s="28">
        <v>243510345</v>
      </c>
      <c r="C38" s="28" t="s">
        <v>94</v>
      </c>
      <c r="D38" s="29">
        <v>8</v>
      </c>
      <c r="E38" s="30">
        <f t="shared" si="0"/>
        <v>10</v>
      </c>
      <c r="F38" s="31"/>
      <c r="G38" s="32">
        <v>90</v>
      </c>
      <c r="H38" s="33">
        <v>70</v>
      </c>
      <c r="I38" s="33">
        <v>0</v>
      </c>
      <c r="J38" s="33">
        <v>70</v>
      </c>
      <c r="K38" s="33">
        <v>60</v>
      </c>
      <c r="L38" s="33">
        <v>30</v>
      </c>
      <c r="M38" s="33">
        <v>85</v>
      </c>
      <c r="N38" s="60">
        <v>60</v>
      </c>
      <c r="O38" s="30">
        <f t="shared" si="2"/>
        <v>18.6666666666667</v>
      </c>
      <c r="P38" s="30">
        <f t="shared" si="3"/>
        <v>12.75</v>
      </c>
      <c r="Q38" s="30">
        <f t="shared" si="4"/>
        <v>12</v>
      </c>
      <c r="R38" s="33">
        <v>10</v>
      </c>
      <c r="S38" s="30">
        <f t="shared" si="5"/>
        <v>2</v>
      </c>
      <c r="T38" s="70">
        <f t="shared" si="6"/>
        <v>55.4166666666667</v>
      </c>
      <c r="U38" s="71" t="str">
        <f t="shared" si="7"/>
        <v>B-</v>
      </c>
      <c r="V38" s="72" t="str">
        <f t="shared" si="1"/>
        <v>CUKUP BAIK</v>
      </c>
    </row>
    <row r="39" ht="15.75" customHeight="1" spans="1:22">
      <c r="A39" s="27">
        <v>24</v>
      </c>
      <c r="B39" s="28">
        <v>243510042</v>
      </c>
      <c r="C39" s="28" t="s">
        <v>95</v>
      </c>
      <c r="D39" s="29">
        <v>8</v>
      </c>
      <c r="E39" s="30">
        <f t="shared" si="0"/>
        <v>10</v>
      </c>
      <c r="F39" s="31"/>
      <c r="G39" s="32">
        <v>90</v>
      </c>
      <c r="H39" s="33">
        <v>88</v>
      </c>
      <c r="I39" s="33">
        <v>90</v>
      </c>
      <c r="J39" s="33">
        <v>90</v>
      </c>
      <c r="K39" s="33">
        <v>92</v>
      </c>
      <c r="L39" s="33">
        <v>90</v>
      </c>
      <c r="M39" s="33">
        <v>84</v>
      </c>
      <c r="N39" s="60">
        <v>92</v>
      </c>
      <c r="O39" s="30">
        <f t="shared" si="2"/>
        <v>31.5</v>
      </c>
      <c r="P39" s="30">
        <f t="shared" si="3"/>
        <v>12.6</v>
      </c>
      <c r="Q39" s="30">
        <f t="shared" si="4"/>
        <v>18.4</v>
      </c>
      <c r="R39" s="33">
        <v>65</v>
      </c>
      <c r="S39" s="30">
        <f t="shared" si="5"/>
        <v>13</v>
      </c>
      <c r="T39" s="70">
        <f t="shared" si="6"/>
        <v>85.5</v>
      </c>
      <c r="U39" s="71" t="str">
        <f t="shared" si="7"/>
        <v>A</v>
      </c>
      <c r="V39" s="72" t="str">
        <f t="shared" si="1"/>
        <v>BAIK SEKALI</v>
      </c>
    </row>
    <row r="40" ht="15.75" customHeight="1" spans="1:22">
      <c r="A40" s="27">
        <v>25</v>
      </c>
      <c r="B40" s="28">
        <v>243510036</v>
      </c>
      <c r="C40" s="28" t="s">
        <v>96</v>
      </c>
      <c r="D40" s="29">
        <v>8</v>
      </c>
      <c r="E40" s="30">
        <f t="shared" si="0"/>
        <v>10</v>
      </c>
      <c r="F40" s="31"/>
      <c r="G40" s="32">
        <v>90</v>
      </c>
      <c r="H40" s="33">
        <v>88</v>
      </c>
      <c r="I40" s="33">
        <v>90</v>
      </c>
      <c r="J40" s="33">
        <v>90</v>
      </c>
      <c r="K40" s="33">
        <v>88</v>
      </c>
      <c r="L40" s="33">
        <v>85</v>
      </c>
      <c r="M40" s="33">
        <v>80</v>
      </c>
      <c r="N40" s="60">
        <v>88</v>
      </c>
      <c r="O40" s="30">
        <f t="shared" si="2"/>
        <v>30.975</v>
      </c>
      <c r="P40" s="30">
        <f t="shared" si="3"/>
        <v>12</v>
      </c>
      <c r="Q40" s="30">
        <f t="shared" si="4"/>
        <v>17.6</v>
      </c>
      <c r="R40" s="33">
        <v>80</v>
      </c>
      <c r="S40" s="30">
        <f t="shared" si="5"/>
        <v>16</v>
      </c>
      <c r="T40" s="70">
        <f t="shared" si="6"/>
        <v>86.575</v>
      </c>
      <c r="U40" s="71" t="str">
        <f t="shared" si="7"/>
        <v>A</v>
      </c>
      <c r="V40" s="72" t="str">
        <f t="shared" si="1"/>
        <v>BAIK SEKALI</v>
      </c>
    </row>
    <row r="41" ht="15.75" customHeight="1" spans="1:22">
      <c r="A41" s="27">
        <v>26</v>
      </c>
      <c r="B41" s="28">
        <v>243510415</v>
      </c>
      <c r="C41" s="28" t="s">
        <v>97</v>
      </c>
      <c r="D41" s="29">
        <v>8</v>
      </c>
      <c r="E41" s="30">
        <f t="shared" si="0"/>
        <v>10</v>
      </c>
      <c r="F41" s="31"/>
      <c r="G41" s="32">
        <v>90</v>
      </c>
      <c r="H41" s="33">
        <v>86</v>
      </c>
      <c r="I41" s="33">
        <v>90</v>
      </c>
      <c r="J41" s="33">
        <v>90</v>
      </c>
      <c r="K41" s="33">
        <v>90</v>
      </c>
      <c r="L41" s="33">
        <v>88</v>
      </c>
      <c r="M41" s="33">
        <v>86</v>
      </c>
      <c r="N41" s="60">
        <v>90</v>
      </c>
      <c r="O41" s="30">
        <f t="shared" si="2"/>
        <v>31.15</v>
      </c>
      <c r="P41" s="30">
        <f t="shared" si="3"/>
        <v>12.9</v>
      </c>
      <c r="Q41" s="30">
        <f t="shared" si="4"/>
        <v>18</v>
      </c>
      <c r="R41" s="33">
        <v>95</v>
      </c>
      <c r="S41" s="30">
        <f t="shared" si="5"/>
        <v>19</v>
      </c>
      <c r="T41" s="70">
        <f t="shared" si="6"/>
        <v>91.05</v>
      </c>
      <c r="U41" s="71" t="str">
        <f t="shared" si="7"/>
        <v>A</v>
      </c>
      <c r="V41" s="72" t="str">
        <f t="shared" si="1"/>
        <v>BAIK SEKALI</v>
      </c>
    </row>
    <row r="42" ht="15.75" customHeight="1" spans="1:22">
      <c r="A42" s="27">
        <v>27</v>
      </c>
      <c r="B42" s="28">
        <v>243510440</v>
      </c>
      <c r="C42" s="28" t="s">
        <v>98</v>
      </c>
      <c r="D42" s="29">
        <v>6</v>
      </c>
      <c r="E42" s="30">
        <f t="shared" si="0"/>
        <v>7.5</v>
      </c>
      <c r="F42" s="31" t="s">
        <v>99</v>
      </c>
      <c r="G42" s="32">
        <v>90</v>
      </c>
      <c r="H42" s="33">
        <v>87</v>
      </c>
      <c r="I42" s="33">
        <v>90</v>
      </c>
      <c r="J42" s="33">
        <v>90</v>
      </c>
      <c r="K42" s="33">
        <v>90</v>
      </c>
      <c r="L42" s="33">
        <v>88</v>
      </c>
      <c r="M42" s="33">
        <v>83</v>
      </c>
      <c r="N42" s="60">
        <v>90</v>
      </c>
      <c r="O42" s="30">
        <f t="shared" si="2"/>
        <v>31.2083333333333</v>
      </c>
      <c r="P42" s="30">
        <f t="shared" si="3"/>
        <v>12.45</v>
      </c>
      <c r="Q42" s="30">
        <f t="shared" si="4"/>
        <v>18</v>
      </c>
      <c r="R42" s="33">
        <v>80</v>
      </c>
      <c r="S42" s="30">
        <f t="shared" si="5"/>
        <v>16</v>
      </c>
      <c r="T42" s="70">
        <f t="shared" si="6"/>
        <v>85.1583333333333</v>
      </c>
      <c r="U42" s="71" t="str">
        <f t="shared" si="7"/>
        <v>A</v>
      </c>
      <c r="V42" s="72" t="str">
        <f t="shared" si="1"/>
        <v>BAIK SEKALI</v>
      </c>
    </row>
    <row r="43" ht="15.75" customHeight="1" spans="1:22">
      <c r="A43" s="27">
        <v>28</v>
      </c>
      <c r="B43" s="28">
        <v>243510714</v>
      </c>
      <c r="C43" s="28" t="s">
        <v>100</v>
      </c>
      <c r="D43" s="29">
        <v>8</v>
      </c>
      <c r="E43" s="30">
        <f t="shared" si="0"/>
        <v>10</v>
      </c>
      <c r="F43" s="31"/>
      <c r="G43" s="32">
        <v>90</v>
      </c>
      <c r="H43" s="34">
        <v>80</v>
      </c>
      <c r="I43" s="63">
        <v>87</v>
      </c>
      <c r="J43" s="63">
        <v>84</v>
      </c>
      <c r="K43" s="63">
        <v>87</v>
      </c>
      <c r="L43" s="63">
        <v>85</v>
      </c>
      <c r="M43" s="63">
        <v>82</v>
      </c>
      <c r="N43" s="64">
        <v>87</v>
      </c>
      <c r="O43" s="30">
        <f t="shared" si="2"/>
        <v>29.925</v>
      </c>
      <c r="P43" s="30">
        <f t="shared" si="3"/>
        <v>12.3</v>
      </c>
      <c r="Q43" s="30">
        <f t="shared" si="4"/>
        <v>17.4</v>
      </c>
      <c r="R43" s="63">
        <v>60</v>
      </c>
      <c r="S43" s="30">
        <f t="shared" si="5"/>
        <v>12</v>
      </c>
      <c r="T43" s="70">
        <f t="shared" si="6"/>
        <v>81.625</v>
      </c>
      <c r="U43" s="71" t="str">
        <f t="shared" si="7"/>
        <v>A</v>
      </c>
      <c r="V43" s="72" t="str">
        <f t="shared" si="1"/>
        <v>BAIK SEKALI</v>
      </c>
    </row>
    <row r="44" ht="15.75" customHeight="1" spans="1:22">
      <c r="A44" s="27">
        <v>29</v>
      </c>
      <c r="B44" s="28">
        <v>243510731</v>
      </c>
      <c r="C44" s="28" t="s">
        <v>101</v>
      </c>
      <c r="D44" s="29">
        <v>8</v>
      </c>
      <c r="E44" s="30">
        <f t="shared" si="0"/>
        <v>10</v>
      </c>
      <c r="F44" s="31"/>
      <c r="G44" s="32">
        <v>90</v>
      </c>
      <c r="H44" s="37">
        <v>83</v>
      </c>
      <c r="I44" s="37">
        <v>85</v>
      </c>
      <c r="J44" s="37">
        <v>85</v>
      </c>
      <c r="K44" s="37">
        <v>92</v>
      </c>
      <c r="L44" s="37">
        <v>0</v>
      </c>
      <c r="M44" s="37">
        <v>87</v>
      </c>
      <c r="N44" s="65">
        <v>92</v>
      </c>
      <c r="O44" s="30">
        <f t="shared" si="2"/>
        <v>25.375</v>
      </c>
      <c r="P44" s="30">
        <f t="shared" si="3"/>
        <v>13.05</v>
      </c>
      <c r="Q44" s="30">
        <f t="shared" si="4"/>
        <v>18.4</v>
      </c>
      <c r="R44" s="29">
        <v>70</v>
      </c>
      <c r="S44" s="30">
        <f t="shared" si="5"/>
        <v>14</v>
      </c>
      <c r="T44" s="70">
        <f t="shared" si="6"/>
        <v>80.825</v>
      </c>
      <c r="U44" s="71" t="str">
        <f t="shared" si="7"/>
        <v>A</v>
      </c>
      <c r="V44" s="72" t="str">
        <f t="shared" si="1"/>
        <v>BAIK SEKALI</v>
      </c>
    </row>
    <row r="45" ht="15.75" customHeight="1" spans="1:22">
      <c r="A45" s="27">
        <v>30</v>
      </c>
      <c r="B45" s="28">
        <v>243510423</v>
      </c>
      <c r="C45" s="28" t="s">
        <v>102</v>
      </c>
      <c r="D45" s="29">
        <v>8</v>
      </c>
      <c r="E45" s="30">
        <f t="shared" si="0"/>
        <v>10</v>
      </c>
      <c r="F45" s="31"/>
      <c r="G45" s="32">
        <v>90</v>
      </c>
      <c r="H45" s="37">
        <v>86</v>
      </c>
      <c r="I45" s="37">
        <v>88</v>
      </c>
      <c r="J45" s="37">
        <v>88</v>
      </c>
      <c r="K45" s="37">
        <v>88</v>
      </c>
      <c r="L45" s="37">
        <v>90</v>
      </c>
      <c r="M45" s="37">
        <v>81</v>
      </c>
      <c r="N45" s="65">
        <v>88</v>
      </c>
      <c r="O45" s="30">
        <f t="shared" si="2"/>
        <v>30.9166666666667</v>
      </c>
      <c r="P45" s="30">
        <f t="shared" si="3"/>
        <v>12.15</v>
      </c>
      <c r="Q45" s="30">
        <f t="shared" si="4"/>
        <v>17.6</v>
      </c>
      <c r="R45" s="29">
        <v>75</v>
      </c>
      <c r="S45" s="30">
        <f t="shared" si="5"/>
        <v>15</v>
      </c>
      <c r="T45" s="70">
        <f t="shared" si="6"/>
        <v>85.6666666666667</v>
      </c>
      <c r="U45" s="71" t="str">
        <f t="shared" si="7"/>
        <v>A</v>
      </c>
      <c r="V45" s="72" t="str">
        <f t="shared" si="1"/>
        <v>BAIK SEKALI</v>
      </c>
    </row>
    <row r="46" ht="15.75" customHeight="1" spans="1:22">
      <c r="A46" s="27">
        <v>31</v>
      </c>
      <c r="B46" s="28">
        <v>243510901</v>
      </c>
      <c r="C46" s="28" t="s">
        <v>103</v>
      </c>
      <c r="D46" s="29">
        <v>8</v>
      </c>
      <c r="E46" s="30">
        <f t="shared" si="0"/>
        <v>10</v>
      </c>
      <c r="F46" s="31"/>
      <c r="G46" s="32">
        <v>90</v>
      </c>
      <c r="H46" s="37">
        <v>86</v>
      </c>
      <c r="I46" s="37">
        <v>90</v>
      </c>
      <c r="J46" s="37">
        <v>90</v>
      </c>
      <c r="K46" s="37">
        <v>95</v>
      </c>
      <c r="L46" s="37">
        <v>87</v>
      </c>
      <c r="M46" s="37">
        <v>85</v>
      </c>
      <c r="N46" s="65">
        <v>95</v>
      </c>
      <c r="O46" s="30">
        <f t="shared" si="2"/>
        <v>31.3833333333333</v>
      </c>
      <c r="P46" s="30">
        <f t="shared" si="3"/>
        <v>12.75</v>
      </c>
      <c r="Q46" s="30">
        <f t="shared" si="4"/>
        <v>19</v>
      </c>
      <c r="R46" s="29">
        <v>80</v>
      </c>
      <c r="S46" s="30">
        <f t="shared" si="5"/>
        <v>16</v>
      </c>
      <c r="T46" s="70">
        <f t="shared" si="6"/>
        <v>89.1333333333333</v>
      </c>
      <c r="U46" s="71" t="str">
        <f t="shared" si="7"/>
        <v>A</v>
      </c>
      <c r="V46" s="72" t="str">
        <f t="shared" si="1"/>
        <v>BAIK SEKALI</v>
      </c>
    </row>
    <row r="47" ht="15.75" customHeight="1" spans="1:22">
      <c r="A47" s="27">
        <v>32</v>
      </c>
      <c r="B47" s="28">
        <v>243510654</v>
      </c>
      <c r="C47" s="28" t="s">
        <v>104</v>
      </c>
      <c r="D47" s="29">
        <v>8</v>
      </c>
      <c r="E47" s="30">
        <f t="shared" si="0"/>
        <v>10</v>
      </c>
      <c r="F47" s="31"/>
      <c r="G47" s="32">
        <v>90</v>
      </c>
      <c r="H47" s="37">
        <v>87</v>
      </c>
      <c r="I47" s="37">
        <v>88</v>
      </c>
      <c r="J47" s="37">
        <v>95</v>
      </c>
      <c r="K47" s="37">
        <v>90</v>
      </c>
      <c r="L47" s="37">
        <v>90</v>
      </c>
      <c r="M47" s="37">
        <v>84</v>
      </c>
      <c r="N47" s="65">
        <v>90</v>
      </c>
      <c r="O47" s="30">
        <f t="shared" si="2"/>
        <v>31.5</v>
      </c>
      <c r="P47" s="30">
        <f t="shared" si="3"/>
        <v>12.6</v>
      </c>
      <c r="Q47" s="30">
        <f t="shared" si="4"/>
        <v>18</v>
      </c>
      <c r="R47" s="29">
        <v>80</v>
      </c>
      <c r="S47" s="30">
        <f t="shared" si="5"/>
        <v>16</v>
      </c>
      <c r="T47" s="70">
        <f t="shared" si="6"/>
        <v>88.1</v>
      </c>
      <c r="U47" s="71" t="str">
        <f t="shared" si="7"/>
        <v>A</v>
      </c>
      <c r="V47" s="72" t="str">
        <f t="shared" si="1"/>
        <v>BAIK SEKALI</v>
      </c>
    </row>
    <row r="48" ht="15.75" customHeight="1" spans="1:22">
      <c r="A48" s="27">
        <v>33</v>
      </c>
      <c r="B48" s="28">
        <v>243510524</v>
      </c>
      <c r="C48" s="28" t="s">
        <v>105</v>
      </c>
      <c r="D48" s="29">
        <v>5</v>
      </c>
      <c r="E48" s="30">
        <f t="shared" si="0"/>
        <v>6.25</v>
      </c>
      <c r="F48" s="31" t="s">
        <v>75</v>
      </c>
      <c r="G48" s="38">
        <v>0</v>
      </c>
      <c r="H48" s="37">
        <v>87</v>
      </c>
      <c r="I48" s="37">
        <v>60</v>
      </c>
      <c r="J48" s="37">
        <v>30</v>
      </c>
      <c r="K48" s="37">
        <v>60</v>
      </c>
      <c r="L48" s="37">
        <v>0</v>
      </c>
      <c r="M48" s="37">
        <v>80</v>
      </c>
      <c r="N48" s="65">
        <v>30</v>
      </c>
      <c r="O48" s="30">
        <f t="shared" si="2"/>
        <v>13.825</v>
      </c>
      <c r="P48" s="30">
        <f t="shared" si="3"/>
        <v>12</v>
      </c>
      <c r="Q48" s="30">
        <f t="shared" si="4"/>
        <v>6</v>
      </c>
      <c r="R48" s="29">
        <v>60</v>
      </c>
      <c r="S48" s="30">
        <f t="shared" si="5"/>
        <v>12</v>
      </c>
      <c r="T48" s="70">
        <f t="shared" si="6"/>
        <v>50.075</v>
      </c>
      <c r="U48" s="71" t="str">
        <f t="shared" si="7"/>
        <v>C+</v>
      </c>
      <c r="V48" s="72" t="str">
        <f t="shared" si="1"/>
        <v>CUKUP</v>
      </c>
    </row>
    <row r="49" ht="15.75" customHeight="1" spans="1:22">
      <c r="A49" s="27">
        <v>34</v>
      </c>
      <c r="B49" s="28">
        <v>243510465</v>
      </c>
      <c r="C49" s="28" t="s">
        <v>106</v>
      </c>
      <c r="D49" s="29">
        <v>8</v>
      </c>
      <c r="E49" s="30">
        <f t="shared" si="0"/>
        <v>10</v>
      </c>
      <c r="F49" s="31"/>
      <c r="G49" s="38">
        <v>90</v>
      </c>
      <c r="H49" s="37">
        <v>85</v>
      </c>
      <c r="I49" s="37">
        <v>90</v>
      </c>
      <c r="J49" s="37">
        <v>88</v>
      </c>
      <c r="K49" s="37">
        <v>88</v>
      </c>
      <c r="L49" s="37">
        <v>90</v>
      </c>
      <c r="M49" s="37">
        <v>86</v>
      </c>
      <c r="N49" s="65">
        <v>88</v>
      </c>
      <c r="O49" s="30">
        <f t="shared" si="2"/>
        <v>30.975</v>
      </c>
      <c r="P49" s="30">
        <f t="shared" si="3"/>
        <v>12.9</v>
      </c>
      <c r="Q49" s="30">
        <f t="shared" si="4"/>
        <v>17.6</v>
      </c>
      <c r="R49" s="29">
        <v>65</v>
      </c>
      <c r="S49" s="30">
        <f t="shared" si="5"/>
        <v>13</v>
      </c>
      <c r="T49" s="70">
        <f t="shared" si="6"/>
        <v>84.475</v>
      </c>
      <c r="U49" s="71" t="str">
        <f t="shared" si="7"/>
        <v>A</v>
      </c>
      <c r="V49" s="72" t="str">
        <f t="shared" si="1"/>
        <v>BAIK SEKALI</v>
      </c>
    </row>
    <row r="50" ht="15.75" customHeight="1" spans="1:22">
      <c r="A50" s="27">
        <v>35</v>
      </c>
      <c r="B50" s="28">
        <v>243510120</v>
      </c>
      <c r="C50" s="28" t="s">
        <v>107</v>
      </c>
      <c r="D50" s="29">
        <v>8</v>
      </c>
      <c r="E50" s="30">
        <f t="shared" si="0"/>
        <v>10</v>
      </c>
      <c r="F50" s="31"/>
      <c r="G50" s="38">
        <v>90</v>
      </c>
      <c r="H50" s="37">
        <v>85</v>
      </c>
      <c r="I50" s="37">
        <v>80</v>
      </c>
      <c r="J50" s="37">
        <v>90</v>
      </c>
      <c r="K50" s="37">
        <v>90</v>
      </c>
      <c r="L50" s="37">
        <v>85</v>
      </c>
      <c r="M50" s="37">
        <v>83</v>
      </c>
      <c r="N50" s="65">
        <v>90</v>
      </c>
      <c r="O50" s="30">
        <f t="shared" si="2"/>
        <v>30.3333333333333</v>
      </c>
      <c r="P50" s="30">
        <f t="shared" si="3"/>
        <v>12.45</v>
      </c>
      <c r="Q50" s="30">
        <f t="shared" si="4"/>
        <v>18</v>
      </c>
      <c r="R50" s="29">
        <v>75</v>
      </c>
      <c r="S50" s="30">
        <f t="shared" si="5"/>
        <v>15</v>
      </c>
      <c r="T50" s="70">
        <f t="shared" si="6"/>
        <v>85.7833333333333</v>
      </c>
      <c r="U50" s="71" t="str">
        <f t="shared" si="7"/>
        <v>A</v>
      </c>
      <c r="V50" s="72" t="str">
        <f t="shared" si="1"/>
        <v>BAIK SEKALI</v>
      </c>
    </row>
    <row r="51" ht="15.75" customHeight="1" spans="1:22">
      <c r="A51" s="27">
        <v>36</v>
      </c>
      <c r="B51" s="28">
        <v>243510232</v>
      </c>
      <c r="C51" s="39" t="s">
        <v>108</v>
      </c>
      <c r="D51" s="29">
        <v>6</v>
      </c>
      <c r="E51" s="30">
        <f t="shared" si="0"/>
        <v>7.5</v>
      </c>
      <c r="F51" s="31" t="s">
        <v>70</v>
      </c>
      <c r="G51" s="38">
        <v>90</v>
      </c>
      <c r="H51" s="37">
        <v>87</v>
      </c>
      <c r="I51" s="33">
        <v>75</v>
      </c>
      <c r="J51" s="33">
        <v>85</v>
      </c>
      <c r="K51" s="37">
        <v>90</v>
      </c>
      <c r="L51" s="37">
        <v>90</v>
      </c>
      <c r="M51" s="37">
        <v>85</v>
      </c>
      <c r="N51" s="65">
        <v>90</v>
      </c>
      <c r="O51" s="30">
        <f t="shared" si="2"/>
        <v>30.1583333333333</v>
      </c>
      <c r="P51" s="30">
        <f t="shared" si="3"/>
        <v>12.75</v>
      </c>
      <c r="Q51" s="30">
        <f t="shared" si="4"/>
        <v>18</v>
      </c>
      <c r="R51" s="29">
        <v>60</v>
      </c>
      <c r="S51" s="30">
        <f t="shared" si="5"/>
        <v>12</v>
      </c>
      <c r="T51" s="70">
        <f t="shared" si="6"/>
        <v>80.4083333333333</v>
      </c>
      <c r="U51" s="71" t="str">
        <f t="shared" si="7"/>
        <v>A</v>
      </c>
      <c r="V51" s="72" t="str">
        <f t="shared" si="1"/>
        <v>BAIK SEKALI</v>
      </c>
    </row>
    <row r="52" ht="15.75" customHeight="1" spans="1:17">
      <c r="A52" s="40"/>
      <c r="B52" s="41"/>
      <c r="C52" s="42"/>
      <c r="D52" s="43"/>
      <c r="E52" s="44"/>
      <c r="F52" s="40"/>
      <c r="G52" s="43"/>
      <c r="H52" s="43"/>
      <c r="I52" s="43"/>
      <c r="J52" s="43"/>
      <c r="K52" s="43"/>
      <c r="L52" s="44"/>
      <c r="M52" s="40"/>
      <c r="N52" s="44"/>
      <c r="O52" s="44"/>
      <c r="P52" s="66"/>
      <c r="Q52" s="73"/>
    </row>
    <row r="53" ht="15.75" customHeight="1"/>
    <row r="54" ht="15.75" customHeight="1"/>
    <row r="55" ht="15.75" customHeight="1"/>
    <row r="56" ht="15.75" customHeight="1" spans="2:13">
      <c r="B56" s="7" t="s">
        <v>44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 t="s">
        <v>45</v>
      </c>
    </row>
    <row r="57" ht="15.75" customHeight="1" spans="2:13">
      <c r="B57" s="7" t="s">
        <v>46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 t="s">
        <v>109</v>
      </c>
    </row>
    <row r="58" ht="15.75" customHeight="1" spans="2:1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ht="15.75" customHeight="1" spans="2:1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ht="15.75" customHeight="1" spans="2:1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ht="15.75" customHeight="1" spans="2:1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ht="15.75" customHeight="1" spans="2:13">
      <c r="B62" s="5" t="s">
        <v>48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5" t="s">
        <v>110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O1"/>
    <mergeCell ref="A2:O2"/>
    <mergeCell ref="A3:O3"/>
    <mergeCell ref="K6:L6"/>
    <mergeCell ref="F7:I7"/>
    <mergeCell ref="A14:A15"/>
    <mergeCell ref="B14:B15"/>
    <mergeCell ref="C14:C15"/>
    <mergeCell ref="D14:D15"/>
    <mergeCell ref="E14:E15"/>
    <mergeCell ref="F14:F15"/>
    <mergeCell ref="O14:O15"/>
    <mergeCell ref="P14:P15"/>
    <mergeCell ref="Q14:Q15"/>
    <mergeCell ref="R14:R15"/>
    <mergeCell ref="S14:S15"/>
    <mergeCell ref="T14:T15"/>
    <mergeCell ref="U14:U15"/>
    <mergeCell ref="V14:V15"/>
    <mergeCell ref="J8:N10"/>
  </mergeCells>
  <pageMargins left="0.7" right="0.7" top="0.75" bottom="0.75" header="0" footer="0"/>
  <pageSetup paperSize="9" scale="6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Monitoring</vt:lpstr>
      <vt:lpstr>Absensi Kelas</vt:lpstr>
      <vt:lpstr>Nilai Praktikum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Riski .B.</cp:lastModifiedBy>
  <dcterms:created xsi:type="dcterms:W3CDTF">2021-03-30T01:25:00Z</dcterms:created>
  <dcterms:modified xsi:type="dcterms:W3CDTF">2026-02-03T06:53:20Z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7020C875AB014E37971883CA17B6164C_12</vt:lpwstr>
  </property>
</Properties>
</file>