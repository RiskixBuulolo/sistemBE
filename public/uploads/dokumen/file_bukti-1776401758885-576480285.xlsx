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Tugas Sekolah\Kuliah\ASISTEN DOSEN\PBO\4A\"/>
    </mc:Choice>
  </mc:AlternateContent>
  <xr:revisionPtr revIDLastSave="0" documentId="8_{535C186B-12A0-43D9-9FB2-0023723709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itoring" sheetId="1" r:id="rId1"/>
    <sheet name="Absensi Kelas" sheetId="2" r:id="rId2"/>
    <sheet name="Nilai Praktiku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x/ws6zbNcSSUauNSCZ87AyXPEcjZb4vQ1pnmhaHiao="/>
    </ext>
  </extLst>
</workbook>
</file>

<file path=xl/calcChain.xml><?xml version="1.0" encoding="utf-8"?>
<calcChain xmlns="http://schemas.openxmlformats.org/spreadsheetml/2006/main">
  <c r="N14" i="3" l="1"/>
  <c r="P56" i="3"/>
  <c r="N56" i="3"/>
  <c r="P55" i="3"/>
  <c r="N55" i="3"/>
  <c r="P54" i="3"/>
  <c r="N54" i="3"/>
  <c r="E56" i="3"/>
  <c r="E55" i="3"/>
  <c r="E54" i="3"/>
  <c r="K57" i="2"/>
  <c r="J57" i="2"/>
  <c r="I57" i="2"/>
  <c r="H57" i="2"/>
  <c r="G57" i="2"/>
  <c r="F57" i="2"/>
  <c r="E57" i="2"/>
  <c r="D57" i="2"/>
  <c r="Q54" i="3" l="1"/>
  <c r="R54" i="3" s="1"/>
  <c r="S54" i="3" s="1"/>
  <c r="Q56" i="3"/>
  <c r="R56" i="3" s="1"/>
  <c r="S56" i="3" s="1"/>
  <c r="Q55" i="3"/>
  <c r="R55" i="3" s="1"/>
  <c r="S55" i="3" s="1"/>
  <c r="P53" i="3"/>
  <c r="N53" i="3"/>
  <c r="E53" i="3"/>
  <c r="P52" i="3"/>
  <c r="N52" i="3"/>
  <c r="E52" i="3"/>
  <c r="P51" i="3"/>
  <c r="N51" i="3"/>
  <c r="E51" i="3"/>
  <c r="P50" i="3"/>
  <c r="N50" i="3"/>
  <c r="E50" i="3"/>
  <c r="P49" i="3"/>
  <c r="N49" i="3"/>
  <c r="E49" i="3"/>
  <c r="P48" i="3"/>
  <c r="N48" i="3"/>
  <c r="E48" i="3"/>
  <c r="P47" i="3"/>
  <c r="N47" i="3"/>
  <c r="E47" i="3"/>
  <c r="P46" i="3"/>
  <c r="N46" i="3"/>
  <c r="E46" i="3"/>
  <c r="P45" i="3"/>
  <c r="N45" i="3"/>
  <c r="E45" i="3"/>
  <c r="P44" i="3"/>
  <c r="N44" i="3"/>
  <c r="E44" i="3"/>
  <c r="P43" i="3"/>
  <c r="N43" i="3"/>
  <c r="E43" i="3"/>
  <c r="P42" i="3"/>
  <c r="N42" i="3"/>
  <c r="E42" i="3"/>
  <c r="P41" i="3"/>
  <c r="N41" i="3"/>
  <c r="E41" i="3"/>
  <c r="P40" i="3"/>
  <c r="N40" i="3"/>
  <c r="E40" i="3"/>
  <c r="P39" i="3"/>
  <c r="N39" i="3"/>
  <c r="E39" i="3"/>
  <c r="P38" i="3"/>
  <c r="N38" i="3"/>
  <c r="E38" i="3"/>
  <c r="P37" i="3"/>
  <c r="N37" i="3"/>
  <c r="E37" i="3"/>
  <c r="P36" i="3"/>
  <c r="N36" i="3"/>
  <c r="E36" i="3"/>
  <c r="P35" i="3"/>
  <c r="N35" i="3"/>
  <c r="E35" i="3"/>
  <c r="P34" i="3"/>
  <c r="N34" i="3"/>
  <c r="E34" i="3"/>
  <c r="P33" i="3"/>
  <c r="N33" i="3"/>
  <c r="E33" i="3"/>
  <c r="P32" i="3"/>
  <c r="N32" i="3"/>
  <c r="E32" i="3"/>
  <c r="P31" i="3"/>
  <c r="N31" i="3"/>
  <c r="E31" i="3"/>
  <c r="P30" i="3"/>
  <c r="N30" i="3"/>
  <c r="E30" i="3"/>
  <c r="P29" i="3"/>
  <c r="N29" i="3"/>
  <c r="E29" i="3"/>
  <c r="P28" i="3"/>
  <c r="N28" i="3"/>
  <c r="E28" i="3"/>
  <c r="P27" i="3"/>
  <c r="N27" i="3"/>
  <c r="E27" i="3"/>
  <c r="P26" i="3"/>
  <c r="N26" i="3"/>
  <c r="E26" i="3"/>
  <c r="P25" i="3"/>
  <c r="N25" i="3"/>
  <c r="E25" i="3"/>
  <c r="P24" i="3"/>
  <c r="N24" i="3"/>
  <c r="E24" i="3"/>
  <c r="P23" i="3"/>
  <c r="N23" i="3"/>
  <c r="E23" i="3"/>
  <c r="P22" i="3"/>
  <c r="N22" i="3"/>
  <c r="E22" i="3"/>
  <c r="P21" i="3"/>
  <c r="N21" i="3"/>
  <c r="E21" i="3"/>
  <c r="P20" i="3"/>
  <c r="N20" i="3"/>
  <c r="E20" i="3"/>
  <c r="P19" i="3"/>
  <c r="N19" i="3"/>
  <c r="E19" i="3"/>
  <c r="P18" i="3"/>
  <c r="N18" i="3"/>
  <c r="E18" i="3"/>
  <c r="P17" i="3"/>
  <c r="N17" i="3"/>
  <c r="E17" i="3"/>
  <c r="P16" i="3"/>
  <c r="N16" i="3"/>
  <c r="E16" i="3"/>
  <c r="P15" i="3"/>
  <c r="N15" i="3"/>
  <c r="E15" i="3"/>
  <c r="P14" i="3"/>
  <c r="Q39" i="3" l="1"/>
  <c r="R39" i="3" s="1"/>
  <c r="S39" i="3" s="1"/>
  <c r="Q18" i="3"/>
  <c r="R18" i="3" s="1"/>
  <c r="S18" i="3" s="1"/>
  <c r="Q47" i="3"/>
  <c r="R47" i="3" s="1"/>
  <c r="S47" i="3" s="1"/>
  <c r="Q40" i="3"/>
  <c r="R40" i="3" s="1"/>
  <c r="S40" i="3" s="1"/>
  <c r="Q31" i="3"/>
  <c r="R31" i="3" s="1"/>
  <c r="S31" i="3" s="1"/>
  <c r="Q48" i="3"/>
  <c r="R48" i="3" s="1"/>
  <c r="S48" i="3" s="1"/>
  <c r="Q32" i="3"/>
  <c r="R32" i="3" s="1"/>
  <c r="S32" i="3" s="1"/>
  <c r="Q19" i="3"/>
  <c r="R19" i="3" s="1"/>
  <c r="S19" i="3" s="1"/>
  <c r="Q30" i="3"/>
  <c r="R30" i="3" s="1"/>
  <c r="S30" i="3" s="1"/>
  <c r="Q27" i="3"/>
  <c r="R27" i="3" s="1"/>
  <c r="S27" i="3" s="1"/>
  <c r="Q29" i="3"/>
  <c r="R29" i="3" s="1"/>
  <c r="S29" i="3" s="1"/>
  <c r="Q21" i="3"/>
  <c r="R21" i="3" s="1"/>
  <c r="S21" i="3" s="1"/>
  <c r="E14" i="3"/>
  <c r="Q14" i="3" s="1"/>
  <c r="Q26" i="3"/>
  <c r="R26" i="3" s="1"/>
  <c r="S26" i="3" s="1"/>
  <c r="Q22" i="3"/>
  <c r="R22" i="3" s="1"/>
  <c r="S22" i="3" s="1"/>
  <c r="Q35" i="3"/>
  <c r="R35" i="3" s="1"/>
  <c r="S35" i="3" s="1"/>
  <c r="Q43" i="3"/>
  <c r="R43" i="3" s="1"/>
  <c r="S43" i="3" s="1"/>
  <c r="Q51" i="3"/>
  <c r="R51" i="3" s="1"/>
  <c r="S51" i="3" s="1"/>
  <c r="Q17" i="3"/>
  <c r="R17" i="3" s="1"/>
  <c r="S17" i="3" s="1"/>
  <c r="Q25" i="3"/>
  <c r="R25" i="3" s="1"/>
  <c r="S25" i="3" s="1"/>
  <c r="Q38" i="3"/>
  <c r="R38" i="3" s="1"/>
  <c r="S38" i="3" s="1"/>
  <c r="Q46" i="3"/>
  <c r="R46" i="3" s="1"/>
  <c r="S46" i="3" s="1"/>
  <c r="Q20" i="3"/>
  <c r="R20" i="3" s="1"/>
  <c r="S20" i="3" s="1"/>
  <c r="Q28" i="3"/>
  <c r="R28" i="3" s="1"/>
  <c r="S28" i="3" s="1"/>
  <c r="Q33" i="3"/>
  <c r="R33" i="3" s="1"/>
  <c r="S33" i="3" s="1"/>
  <c r="Q41" i="3"/>
  <c r="R41" i="3" s="1"/>
  <c r="S41" i="3" s="1"/>
  <c r="Q49" i="3"/>
  <c r="R49" i="3" s="1"/>
  <c r="S49" i="3" s="1"/>
  <c r="Q15" i="3"/>
  <c r="R15" i="3" s="1"/>
  <c r="S15" i="3" s="1"/>
  <c r="Q23" i="3"/>
  <c r="R23" i="3" s="1"/>
  <c r="S23" i="3" s="1"/>
  <c r="Q36" i="3"/>
  <c r="R36" i="3" s="1"/>
  <c r="S36" i="3" s="1"/>
  <c r="Q44" i="3"/>
  <c r="R44" i="3" s="1"/>
  <c r="S44" i="3" s="1"/>
  <c r="Q52" i="3"/>
  <c r="R52" i="3" s="1"/>
  <c r="S52" i="3" s="1"/>
  <c r="Q34" i="3"/>
  <c r="R34" i="3" s="1"/>
  <c r="S34" i="3" s="1"/>
  <c r="Q42" i="3"/>
  <c r="R42" i="3" s="1"/>
  <c r="S42" i="3" s="1"/>
  <c r="Q50" i="3"/>
  <c r="R50" i="3" s="1"/>
  <c r="S50" i="3" s="1"/>
  <c r="Q16" i="3"/>
  <c r="R16" i="3" s="1"/>
  <c r="S16" i="3" s="1"/>
  <c r="Q24" i="3"/>
  <c r="R24" i="3" s="1"/>
  <c r="S24" i="3" s="1"/>
  <c r="Q37" i="3"/>
  <c r="R37" i="3" s="1"/>
  <c r="S37" i="3" s="1"/>
  <c r="Q45" i="3"/>
  <c r="R45" i="3" s="1"/>
  <c r="S45" i="3" s="1"/>
  <c r="Q53" i="3"/>
  <c r="R53" i="3" s="1"/>
  <c r="S53" i="3" s="1"/>
  <c r="R14" i="3" l="1"/>
  <c r="S14" i="3" s="1"/>
</calcChain>
</file>

<file path=xl/sharedStrings.xml><?xml version="1.0" encoding="utf-8"?>
<sst xmlns="http://schemas.openxmlformats.org/spreadsheetml/2006/main" count="452" uniqueCount="124">
  <si>
    <t>MONITORING ASISTEN</t>
  </si>
  <si>
    <t>PROGRAM STUDI TEKNIK INFORMATIKA SEMESTER GENAP 2022/2023</t>
  </si>
  <si>
    <t>UNIVERSITAS ISLAM RIAU</t>
  </si>
  <si>
    <t>Program Studi</t>
  </si>
  <si>
    <t>: Teknik Informatika</t>
  </si>
  <si>
    <t xml:space="preserve">Asisten 1 </t>
  </si>
  <si>
    <t>Mata Kuliah</t>
  </si>
  <si>
    <t xml:space="preserve">Asisten 2 </t>
  </si>
  <si>
    <t>Semester/Kelas</t>
  </si>
  <si>
    <t>Dosen</t>
  </si>
  <si>
    <t>MONITORING KEHADIRAN KULIAH</t>
  </si>
  <si>
    <t>Minggu</t>
  </si>
  <si>
    <t>Tanggal</t>
  </si>
  <si>
    <t>Topik</t>
  </si>
  <si>
    <t>Materi Praktikum</t>
  </si>
  <si>
    <t>Metode</t>
  </si>
  <si>
    <t>TTD Asisten 1</t>
  </si>
  <si>
    <t>TTD Asisten 2</t>
  </si>
  <si>
    <t>Ttd. Ketua Kelas</t>
  </si>
  <si>
    <t>Mhs Hadir</t>
  </si>
  <si>
    <t>Ke-</t>
  </si>
  <si>
    <t>Daring/Luring *</t>
  </si>
  <si>
    <t>UJIAN PRAKTIKUM</t>
  </si>
  <si>
    <t>Mengetahui,</t>
  </si>
  <si>
    <t>Ka. Lab Teknik Informatika</t>
  </si>
  <si>
    <t>Dosen Instruktur</t>
  </si>
  <si>
    <t>ABSENSI PRAKTIKUM MAHASISWA</t>
  </si>
  <si>
    <t>DAFTAR HADIR MAHASISWA</t>
  </si>
  <si>
    <t>Semester / Kelas</t>
  </si>
  <si>
    <t>NO</t>
  </si>
  <si>
    <t>NPM</t>
  </si>
  <si>
    <t>NAMA</t>
  </si>
  <si>
    <t>Paraf/Mahasiswa/Setiap Kali Tatap Muka</t>
  </si>
  <si>
    <t>Jumlah Kehadiran</t>
  </si>
  <si>
    <t>Keterangan</t>
  </si>
  <si>
    <t>Dosen Pengampu</t>
  </si>
  <si>
    <t>NILAI AKHIR PRAKTIKUM MATA KULIAH SEMESTER GANJIL TA 2022/2023</t>
  </si>
  <si>
    <t>PROGRAM STUDI TEKNIK INFORMATIKA FAKULTAS TEKNIK</t>
  </si>
  <si>
    <t>SKS</t>
  </si>
  <si>
    <t>=</t>
  </si>
  <si>
    <t>Jumlah Pertemuan</t>
  </si>
  <si>
    <t>Kriteria Penilaian Teori</t>
  </si>
  <si>
    <t>Absensi</t>
  </si>
  <si>
    <t>PERSENTASE DAPAT BERUBAH</t>
  </si>
  <si>
    <t>Tugas</t>
  </si>
  <si>
    <t>UAS</t>
  </si>
  <si>
    <t>No</t>
  </si>
  <si>
    <t>Bobot Absensi</t>
  </si>
  <si>
    <t>TUGAS PRAKTIKUM</t>
  </si>
  <si>
    <t>Kalkulasi Tugas</t>
  </si>
  <si>
    <t>Kalkulasi UAS</t>
  </si>
  <si>
    <t>Nilai akhir</t>
  </si>
  <si>
    <t>Huruf</t>
  </si>
  <si>
    <t>Nilai Kualitattif</t>
  </si>
  <si>
    <t>TUGAS 1</t>
  </si>
  <si>
    <t>TUGAS 2</t>
  </si>
  <si>
    <t>Ö</t>
  </si>
  <si>
    <t>KUIS</t>
  </si>
  <si>
    <t>Hadir</t>
  </si>
  <si>
    <t>TUGAS 3</t>
  </si>
  <si>
    <t>TUGAS 4</t>
  </si>
  <si>
    <t>TUGAS 5</t>
  </si>
  <si>
    <t>TUGAS 6</t>
  </si>
  <si>
    <t>ACHMAD IZZA AL ISLAMI</t>
  </si>
  <si>
    <t>ADINDA MEILANI PUTRI</t>
  </si>
  <si>
    <t>AHMAD NURUDEEN ADEYEMI</t>
  </si>
  <si>
    <t>AHMAD RIDHO</t>
  </si>
  <si>
    <t>ALFI JULRIAN INDRA PUTRA</t>
  </si>
  <si>
    <t>ALVISTO DHENOVA</t>
  </si>
  <si>
    <t>ANNISA MAIRA ANASTASYA</t>
  </si>
  <si>
    <t>DAUD FRANS JULI TELAUMBANUA</t>
  </si>
  <si>
    <t>DZIHNI DESTIANA</t>
  </si>
  <si>
    <t>FACHRI RAIHAN RAMADHAN</t>
  </si>
  <si>
    <t>FATTAH FITRIANSYAH</t>
  </si>
  <si>
    <t>ILHAM FADLI</t>
  </si>
  <si>
    <t>MEISYA AYUNDA PUTRI</t>
  </si>
  <si>
    <t>MUHAMMAD FAZLY</t>
  </si>
  <si>
    <t>MUHAMMAD RIFA`I</t>
  </si>
  <si>
    <t>NABIL SEPTI SYABANA</t>
  </si>
  <si>
    <t>NISA RAHMADANI</t>
  </si>
  <si>
    <t>PUTRI SYAHIRA</t>
  </si>
  <si>
    <t>REXA APRESHA</t>
  </si>
  <si>
    <t>SAHIRA AYISKA</t>
  </si>
  <si>
    <t>SAHRUL EFENDI</t>
  </si>
  <si>
    <t>SYNTIA ADHISTI</t>
  </si>
  <si>
    <t>DZAKY SYAKIEB</t>
  </si>
  <si>
    <t>RAFLI ALAMSYAH</t>
  </si>
  <si>
    <t>HENDY RIZKI</t>
  </si>
  <si>
    <t>AGIL TIRTA P</t>
  </si>
  <si>
    <t>ARI KRISTIAN L MANIK</t>
  </si>
  <si>
    <t>HADI PERMADI</t>
  </si>
  <si>
    <t>233510637</t>
  </si>
  <si>
    <t>233510446</t>
  </si>
  <si>
    <t>233514030</t>
  </si>
  <si>
    <t>233510100</t>
  </si>
  <si>
    <t>233510583</t>
  </si>
  <si>
    <t>233510235</t>
  </si>
  <si>
    <t>233510727</t>
  </si>
  <si>
    <t>233510575</t>
  </si>
  <si>
    <t>233510114</t>
  </si>
  <si>
    <t>233510643</t>
  </si>
  <si>
    <t>233510167</t>
  </si>
  <si>
    <t>233510834</t>
  </si>
  <si>
    <t>233510824</t>
  </si>
  <si>
    <t>233510501</t>
  </si>
  <si>
    <t>233510484</t>
  </si>
  <si>
    <t>233510266</t>
  </si>
  <si>
    <t>233510248</t>
  </si>
  <si>
    <t>233510322</t>
  </si>
  <si>
    <t>233510452</t>
  </si>
  <si>
    <t>233510751</t>
  </si>
  <si>
    <t>233510312</t>
  </si>
  <si>
    <t>233510759</t>
  </si>
  <si>
    <t>: Pemrograman Berorientasi Objek</t>
  </si>
  <si>
    <t>: 4/A</t>
  </si>
  <si>
    <t>: Akmar Efendi, S.Kom., M.Kom</t>
  </si>
  <si>
    <t>: Muhammad Dani Nasution</t>
  </si>
  <si>
    <t>: Riski Buulolo</t>
  </si>
  <si>
    <t>a</t>
  </si>
  <si>
    <t>alpha</t>
  </si>
  <si>
    <t>alpha x5</t>
  </si>
  <si>
    <t>Akmar Efendi, S.Kom., M.Kom</t>
  </si>
  <si>
    <t>Pekanbaru, 30 - 06 - 2025</t>
  </si>
  <si>
    <t>Rizky Wandri, S.Kom., M.Kom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</si>
</sst>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  <font>
      <sz val="11"/>
      <name val="Arial"/>
    </font>
    <font>
      <sz val="12"/>
      <color theme="1"/>
      <name val="Times New Roman"/>
    </font>
    <font>
      <b/>
      <sz val="11"/>
      <color rgb="FF000000"/>
      <name val="Cambria"/>
    </font>
    <font>
      <b/>
      <u/>
      <sz val="14"/>
      <color rgb="FF000000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2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Arial"/>
    </font>
    <font>
      <sz val="12"/>
      <color rgb="FF000000"/>
      <name val="Times New Roman"/>
    </font>
    <font>
      <b/>
      <sz val="11"/>
      <color rgb="FF000000"/>
      <name val="Arial"/>
    </font>
    <font>
      <b/>
      <sz val="11"/>
      <color theme="1"/>
      <name val="Calibri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sz val="12"/>
      <name val="Symbol"/>
      <family val="1"/>
      <charset val="2"/>
    </font>
    <font>
      <sz val="11"/>
      <name val="Calibri"/>
      <family val="2"/>
    </font>
    <font>
      <sz val="11"/>
      <name val="Arial"/>
      <scheme val="minor"/>
    </font>
    <font>
      <sz val="8"/>
      <name val="Arial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70AD46"/>
        <bgColor rgb="FF70AD46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0"/>
  </cellStyleXfs>
  <cellXfs count="155"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8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3" borderId="8" xfId="0" applyFont="1" applyFill="1" applyBorder="1"/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14" fontId="15" fillId="2" borderId="4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7" fillId="0" borderId="0" xfId="0" applyFont="1"/>
    <xf numFmtId="0" fontId="8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10" xfId="0" applyFont="1" applyBorder="1"/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4" borderId="4" xfId="0" quotePrefix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9" fontId="4" fillId="4" borderId="13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9" fontId="4" fillId="4" borderId="4" xfId="0" applyNumberFormat="1" applyFont="1" applyFill="1" applyBorder="1" applyAlignment="1">
      <alignment horizontal="center"/>
    </xf>
    <xf numFmtId="0" fontId="4" fillId="3" borderId="8" xfId="0" applyFont="1" applyFill="1" applyBorder="1"/>
    <xf numFmtId="0" fontId="4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left"/>
    </xf>
    <xf numFmtId="9" fontId="4" fillId="3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5" fillId="5" borderId="27" xfId="0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64" fontId="5" fillId="0" borderId="28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164" fontId="24" fillId="5" borderId="4" xfId="0" applyNumberFormat="1" applyFont="1" applyFill="1" applyBorder="1" applyAlignment="1">
      <alignment horizontal="center" vertical="center"/>
    </xf>
    <xf numFmtId="164" fontId="24" fillId="5" borderId="6" xfId="0" applyNumberFormat="1" applyFont="1" applyFill="1" applyBorder="1" applyAlignment="1">
      <alignment horizontal="center" vertical="center"/>
    </xf>
    <xf numFmtId="164" fontId="24" fillId="5" borderId="27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/>
    </xf>
    <xf numFmtId="0" fontId="25" fillId="0" borderId="0" xfId="0" applyFont="1"/>
    <xf numFmtId="0" fontId="23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4" fontId="23" fillId="0" borderId="4" xfId="0" applyNumberFormat="1" applyFont="1" applyBorder="1" applyAlignment="1">
      <alignment horizontal="center" vertical="center" wrapText="1"/>
    </xf>
    <xf numFmtId="0" fontId="28" fillId="0" borderId="0" xfId="0" applyFont="1"/>
    <xf numFmtId="0" fontId="26" fillId="0" borderId="0" xfId="0" applyFont="1"/>
    <xf numFmtId="0" fontId="29" fillId="0" borderId="25" xfId="0" applyFont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30" fillId="0" borderId="24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6" borderId="24" xfId="0" applyFill="1" applyBorder="1" applyAlignment="1">
      <alignment horizontal="left"/>
    </xf>
    <xf numFmtId="0" fontId="0" fillId="6" borderId="34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5" fillId="3" borderId="9" xfId="0" applyFont="1" applyFill="1" applyBorder="1" applyAlignment="1">
      <alignment horizontal="left"/>
    </xf>
    <xf numFmtId="0" fontId="25" fillId="3" borderId="20" xfId="0" applyFont="1" applyFill="1" applyBorder="1" applyAlignment="1">
      <alignment horizontal="left"/>
    </xf>
    <xf numFmtId="0" fontId="27" fillId="0" borderId="20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2" fillId="3" borderId="9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33" fillId="6" borderId="24" xfId="0" applyFont="1" applyFill="1" applyBorder="1" applyAlignment="1">
      <alignment horizontal="center"/>
    </xf>
    <xf numFmtId="3" fontId="33" fillId="6" borderId="24" xfId="0" applyNumberFormat="1" applyFont="1" applyFill="1" applyBorder="1" applyAlignment="1">
      <alignment horizontal="center"/>
    </xf>
    <xf numFmtId="0" fontId="33" fillId="0" borderId="24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5" fillId="3" borderId="9" xfId="0" applyFont="1" applyFill="1" applyBorder="1" applyAlignment="1">
      <alignment horizontal="left"/>
    </xf>
    <xf numFmtId="0" fontId="33" fillId="0" borderId="24" xfId="0" applyNumberFormat="1" applyFont="1" applyFill="1" applyBorder="1" applyAlignment="1">
      <alignment horizontal="center"/>
    </xf>
  </cellXfs>
  <cellStyles count="2">
    <cellStyle name="Normal" xfId="0" builtinId="0"/>
    <cellStyle name="Normal 6" xfId="1" xr:uid="{8A2ECEE4-DC67-4197-88CD-94380E39B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114300</xdr:rowOff>
    </xdr:from>
    <xdr:ext cx="676275" cy="809625"/>
    <xdr:pic>
      <xdr:nvPicPr>
        <xdr:cNvPr id="2" name="image4.pn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9525</xdr:rowOff>
    </xdr:from>
    <xdr:ext cx="666750" cy="695325"/>
    <xdr:pic>
      <xdr:nvPicPr>
        <xdr:cNvPr id="2" name="image4.png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1504950</xdr:colOff>
      <xdr:row>0</xdr:row>
      <xdr:rowOff>19050</xdr:rowOff>
    </xdr:from>
    <xdr:ext cx="657225" cy="762000"/>
    <xdr:pic>
      <xdr:nvPicPr>
        <xdr:cNvPr id="2" name="image5.png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000"/>
  <sheetViews>
    <sheetView tabSelected="1" topLeftCell="A20" zoomScale="76" workbookViewId="0">
      <selection activeCell="I26" sqref="I26"/>
    </sheetView>
  </sheetViews>
  <sheetFormatPr defaultColWidth="12.58203125" defaultRowHeight="15" customHeight="1" x14ac:dyDescent="0.3"/>
  <cols>
    <col min="1" max="1" width="7.75" customWidth="1"/>
    <col min="2" max="2" width="16.25" customWidth="1"/>
    <col min="3" max="3" width="11.25" customWidth="1"/>
    <col min="4" max="4" width="10.75" customWidth="1"/>
    <col min="5" max="5" width="20.75" customWidth="1"/>
    <col min="6" max="7" width="15.25" customWidth="1"/>
    <col min="8" max="8" width="16.5" customWidth="1"/>
    <col min="9" max="10" width="15.5" customWidth="1"/>
    <col min="11" max="27" width="7.75" customWidth="1"/>
  </cols>
  <sheetData>
    <row r="2" spans="2:19" ht="15.5" x14ac:dyDescent="0.35">
      <c r="C2" s="109" t="s">
        <v>0</v>
      </c>
      <c r="D2" s="110"/>
      <c r="E2" s="110"/>
      <c r="F2" s="110"/>
      <c r="G2" s="110"/>
      <c r="H2" s="110"/>
      <c r="I2" s="110"/>
      <c r="J2" s="110"/>
    </row>
    <row r="3" spans="2:19" ht="15.5" x14ac:dyDescent="0.35">
      <c r="C3" s="109" t="s">
        <v>1</v>
      </c>
      <c r="D3" s="110"/>
      <c r="E3" s="110"/>
      <c r="F3" s="110"/>
      <c r="G3" s="110"/>
      <c r="H3" s="110"/>
      <c r="I3" s="110"/>
      <c r="J3" s="110"/>
    </row>
    <row r="4" spans="2:19" ht="15.5" x14ac:dyDescent="0.35">
      <c r="C4" s="109" t="s">
        <v>2</v>
      </c>
      <c r="D4" s="110"/>
      <c r="E4" s="110"/>
      <c r="F4" s="110"/>
      <c r="G4" s="110"/>
      <c r="H4" s="110"/>
      <c r="I4" s="110"/>
      <c r="J4" s="110"/>
    </row>
    <row r="5" spans="2:19" ht="14.5" x14ac:dyDescent="0.35">
      <c r="C5" s="1"/>
      <c r="D5" s="1"/>
      <c r="E5" s="1"/>
      <c r="F5" s="1"/>
      <c r="G5" s="1"/>
      <c r="H5" s="1"/>
      <c r="I5" s="1"/>
      <c r="J5" s="1"/>
    </row>
    <row r="6" spans="2:19" ht="14.5" x14ac:dyDescent="0.35">
      <c r="C6" s="1"/>
      <c r="D6" s="1"/>
      <c r="E6" s="1"/>
      <c r="F6" s="1"/>
      <c r="G6" s="1"/>
      <c r="H6" s="1"/>
      <c r="I6" s="1"/>
      <c r="J6" s="1"/>
    </row>
    <row r="7" spans="2:19" ht="15" customHeight="1" x14ac:dyDescent="0.35">
      <c r="B7" s="2" t="s">
        <v>3</v>
      </c>
      <c r="C7" s="3" t="s">
        <v>4</v>
      </c>
      <c r="D7" s="4"/>
      <c r="E7" s="4"/>
      <c r="F7" s="4"/>
      <c r="G7" s="5" t="s">
        <v>5</v>
      </c>
      <c r="H7" s="88" t="s">
        <v>116</v>
      </c>
      <c r="I7" s="6"/>
      <c r="J7" s="6"/>
    </row>
    <row r="8" spans="2:19" ht="15.75" customHeight="1" x14ac:dyDescent="0.35">
      <c r="B8" s="1" t="s">
        <v>6</v>
      </c>
      <c r="C8" s="87" t="s">
        <v>113</v>
      </c>
      <c r="D8" s="8"/>
      <c r="E8" s="8"/>
      <c r="F8" s="8"/>
      <c r="G8" s="5" t="s">
        <v>7</v>
      </c>
      <c r="H8" s="88" t="s">
        <v>117</v>
      </c>
      <c r="I8" s="6"/>
      <c r="J8" s="6"/>
    </row>
    <row r="9" spans="2:19" ht="15.75" customHeight="1" x14ac:dyDescent="0.35">
      <c r="B9" s="1" t="s">
        <v>8</v>
      </c>
      <c r="C9" s="87" t="s">
        <v>114</v>
      </c>
      <c r="D9" s="8"/>
      <c r="E9" s="8"/>
      <c r="F9" s="8"/>
      <c r="G9" s="9"/>
      <c r="H9" s="8"/>
      <c r="I9" s="6"/>
      <c r="J9" s="6"/>
    </row>
    <row r="10" spans="2:19" ht="16.5" customHeight="1" x14ac:dyDescent="0.35">
      <c r="B10" s="1" t="s">
        <v>9</v>
      </c>
      <c r="C10" s="87" t="s">
        <v>115</v>
      </c>
      <c r="D10" s="8"/>
      <c r="E10" s="8"/>
      <c r="F10" s="8"/>
      <c r="G10" s="9"/>
      <c r="H10" s="8"/>
      <c r="I10" s="8"/>
      <c r="J10" s="8"/>
    </row>
    <row r="11" spans="2:19" ht="16.5" customHeight="1" x14ac:dyDescent="0.3">
      <c r="B11" s="9"/>
      <c r="C11" s="9"/>
      <c r="D11" s="9"/>
      <c r="E11" s="9"/>
      <c r="F11" s="8"/>
      <c r="G11" s="8"/>
      <c r="H11" s="8"/>
      <c r="I11" s="8"/>
      <c r="J11" s="8"/>
    </row>
    <row r="12" spans="2:19" ht="15.75" customHeight="1" x14ac:dyDescent="0.3">
      <c r="B12" s="111" t="s">
        <v>10</v>
      </c>
      <c r="C12" s="112"/>
      <c r="D12" s="112"/>
      <c r="E12" s="112"/>
      <c r="F12" s="112"/>
      <c r="G12" s="112"/>
      <c r="H12" s="112"/>
      <c r="I12" s="112"/>
      <c r="J12" s="108"/>
    </row>
    <row r="13" spans="2:19" ht="15.5" x14ac:dyDescent="0.3">
      <c r="B13" s="10" t="s">
        <v>11</v>
      </c>
      <c r="C13" s="105" t="s">
        <v>12</v>
      </c>
      <c r="D13" s="10" t="s">
        <v>13</v>
      </c>
      <c r="E13" s="105" t="s">
        <v>14</v>
      </c>
      <c r="F13" s="10" t="s">
        <v>15</v>
      </c>
      <c r="G13" s="105" t="s">
        <v>16</v>
      </c>
      <c r="H13" s="105" t="s">
        <v>17</v>
      </c>
      <c r="I13" s="105" t="s">
        <v>18</v>
      </c>
      <c r="J13" s="105" t="s">
        <v>19</v>
      </c>
    </row>
    <row r="14" spans="2:19" ht="15.5" x14ac:dyDescent="0.3">
      <c r="B14" s="11" t="s">
        <v>20</v>
      </c>
      <c r="C14" s="106"/>
      <c r="D14" s="11" t="s">
        <v>20</v>
      </c>
      <c r="E14" s="106"/>
      <c r="F14" s="11" t="s">
        <v>21</v>
      </c>
      <c r="G14" s="106"/>
      <c r="H14" s="106"/>
      <c r="I14" s="106"/>
      <c r="J14" s="106"/>
    </row>
    <row r="15" spans="2:19" ht="41.25" customHeight="1" x14ac:dyDescent="0.35">
      <c r="B15" s="12">
        <v>1</v>
      </c>
      <c r="C15" s="91"/>
      <c r="D15" s="13">
        <v>1</v>
      </c>
      <c r="E15" s="89"/>
      <c r="F15" s="89"/>
      <c r="G15" s="12"/>
      <c r="H15" s="14"/>
      <c r="I15" s="14"/>
      <c r="J15" s="14"/>
      <c r="L15" s="1"/>
      <c r="M15" s="1"/>
      <c r="N15" s="1"/>
      <c r="O15" s="1"/>
      <c r="P15" s="1"/>
      <c r="Q15" s="1"/>
      <c r="R15" s="1"/>
      <c r="S15" s="1"/>
    </row>
    <row r="16" spans="2:19" ht="45" customHeight="1" x14ac:dyDescent="0.3">
      <c r="B16" s="12">
        <v>2</v>
      </c>
      <c r="C16" s="91"/>
      <c r="D16" s="13">
        <v>2</v>
      </c>
      <c r="E16" s="89"/>
      <c r="F16" s="89"/>
      <c r="G16" s="12"/>
      <c r="H16" s="14"/>
      <c r="I16" s="14"/>
      <c r="J16" s="14"/>
    </row>
    <row r="17" spans="1:27" ht="43.5" customHeight="1" x14ac:dyDescent="0.3">
      <c r="B17" s="12">
        <v>3</v>
      </c>
      <c r="C17" s="91"/>
      <c r="D17" s="13">
        <v>3</v>
      </c>
      <c r="E17" s="89"/>
      <c r="F17" s="89"/>
      <c r="G17" s="12"/>
      <c r="H17" s="14"/>
      <c r="I17" s="14"/>
      <c r="J17" s="14"/>
    </row>
    <row r="18" spans="1:27" ht="50.25" customHeight="1" x14ac:dyDescent="0.3">
      <c r="B18" s="12">
        <v>4</v>
      </c>
      <c r="C18" s="91"/>
      <c r="D18" s="13">
        <v>4</v>
      </c>
      <c r="E18" s="89"/>
      <c r="F18" s="89"/>
      <c r="G18" s="12"/>
      <c r="H18" s="14"/>
      <c r="I18" s="14"/>
      <c r="J18" s="14"/>
    </row>
    <row r="19" spans="1:27" ht="54.75" customHeight="1" x14ac:dyDescent="0.3">
      <c r="B19" s="12">
        <v>5</v>
      </c>
      <c r="C19" s="91"/>
      <c r="D19" s="13">
        <v>5</v>
      </c>
      <c r="E19" s="89"/>
      <c r="F19" s="89"/>
      <c r="G19" s="12"/>
      <c r="H19" s="14"/>
      <c r="I19" s="14"/>
      <c r="J19" s="14"/>
    </row>
    <row r="20" spans="1:27" ht="43.5" customHeight="1" x14ac:dyDescent="0.3">
      <c r="B20" s="12">
        <v>6</v>
      </c>
      <c r="C20" s="91"/>
      <c r="D20" s="13">
        <v>6</v>
      </c>
      <c r="E20" s="89"/>
      <c r="F20" s="89"/>
      <c r="G20" s="12"/>
      <c r="H20" s="14"/>
      <c r="I20" s="14"/>
      <c r="J20" s="14"/>
    </row>
    <row r="21" spans="1:27" ht="42" customHeight="1" x14ac:dyDescent="0.3">
      <c r="B21" s="12">
        <v>7</v>
      </c>
      <c r="C21" s="91"/>
      <c r="D21" s="12">
        <v>7</v>
      </c>
      <c r="E21" s="89"/>
      <c r="F21" s="90"/>
      <c r="G21" s="12"/>
      <c r="H21" s="14"/>
      <c r="I21" s="14"/>
      <c r="J21" s="14"/>
    </row>
    <row r="22" spans="1:27" ht="51" customHeight="1" x14ac:dyDescent="0.35">
      <c r="A22" s="15"/>
      <c r="B22" s="16">
        <v>8</v>
      </c>
      <c r="C22" s="91"/>
      <c r="D22" s="17">
        <v>8</v>
      </c>
      <c r="E22" s="107" t="s">
        <v>22</v>
      </c>
      <c r="F22" s="108"/>
      <c r="G22" s="12"/>
      <c r="H22" s="14"/>
      <c r="I22" s="14"/>
      <c r="J22" s="17"/>
    </row>
    <row r="23" spans="1:27" ht="15.75" customHeight="1" x14ac:dyDescent="0.35">
      <c r="F23" s="1"/>
      <c r="G23" s="1"/>
      <c r="H23" s="1"/>
      <c r="I23" s="1"/>
      <c r="J23" s="18"/>
    </row>
    <row r="24" spans="1:27" ht="15.75" customHeight="1" x14ac:dyDescent="0.35">
      <c r="F24" s="1"/>
      <c r="G24" s="1"/>
      <c r="H24" s="1"/>
      <c r="I24" s="1"/>
      <c r="J24" s="18"/>
    </row>
    <row r="25" spans="1:27" ht="15.75" customHeight="1" x14ac:dyDescent="0.35">
      <c r="C25" s="1" t="s">
        <v>23</v>
      </c>
      <c r="F25" s="1"/>
      <c r="G25" s="1"/>
      <c r="H25" s="1"/>
      <c r="I25" s="93" t="s">
        <v>122</v>
      </c>
      <c r="J25" s="18"/>
    </row>
    <row r="26" spans="1:27" ht="15.75" customHeight="1" x14ac:dyDescent="0.35">
      <c r="C26" s="1" t="s">
        <v>24</v>
      </c>
      <c r="F26" s="1"/>
      <c r="G26" s="1"/>
      <c r="H26" s="1"/>
      <c r="I26" s="1" t="s">
        <v>25</v>
      </c>
      <c r="J26" s="18"/>
    </row>
    <row r="27" spans="1:27" ht="15.75" customHeight="1" x14ac:dyDescent="0.35">
      <c r="F27" s="1"/>
      <c r="G27" s="1"/>
      <c r="H27" s="1"/>
      <c r="I27" s="1"/>
      <c r="J27" s="18"/>
    </row>
    <row r="28" spans="1:27" ht="15.75" customHeight="1" x14ac:dyDescent="0.35">
      <c r="F28" s="1"/>
      <c r="G28" s="1"/>
      <c r="H28" s="1"/>
      <c r="I28" s="1"/>
      <c r="J28" s="1"/>
    </row>
    <row r="29" spans="1:27" ht="15.75" customHeight="1" x14ac:dyDescent="0.3"/>
    <row r="30" spans="1:27" ht="15.75" customHeight="1" x14ac:dyDescent="0.3"/>
    <row r="31" spans="1:27" ht="15.75" customHeight="1" x14ac:dyDescent="0.35">
      <c r="A31" s="2"/>
      <c r="B31" s="2"/>
      <c r="C31" s="92" t="s">
        <v>123</v>
      </c>
      <c r="D31" s="2"/>
      <c r="E31" s="2"/>
      <c r="F31" s="2"/>
      <c r="G31" s="2"/>
      <c r="H31" s="2"/>
      <c r="I31" s="92" t="s">
        <v>121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H13:H14"/>
    <mergeCell ref="I13:I14"/>
    <mergeCell ref="E22:F22"/>
    <mergeCell ref="C2:J2"/>
    <mergeCell ref="C3:J3"/>
    <mergeCell ref="C4:J4"/>
    <mergeCell ref="B12:J12"/>
    <mergeCell ref="C13:C14"/>
    <mergeCell ref="E13:E14"/>
    <mergeCell ref="G13:G14"/>
    <mergeCell ref="J13:J14"/>
  </mergeCells>
  <printOptions horizontalCentered="1"/>
  <pageMargins left="0.7" right="0.7" top="0.75" bottom="0.75" header="0" footer="0"/>
  <pageSetup paperSize="9"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52" zoomScale="81" zoomScaleNormal="100" workbookViewId="0">
      <selection activeCell="K61" sqref="K61"/>
    </sheetView>
  </sheetViews>
  <sheetFormatPr defaultColWidth="12.58203125" defaultRowHeight="15" customHeight="1" x14ac:dyDescent="0.3"/>
  <cols>
    <col min="1" max="1" width="4.5" customWidth="1"/>
    <col min="2" max="2" width="18.08203125" customWidth="1"/>
    <col min="3" max="3" width="43.75" customWidth="1"/>
    <col min="4" max="6" width="3.75" customWidth="1"/>
    <col min="7" max="8" width="3.5" customWidth="1"/>
    <col min="9" max="9" width="3.25" customWidth="1"/>
    <col min="10" max="11" width="3.75" customWidth="1"/>
    <col min="12" max="12" width="24.75" customWidth="1"/>
    <col min="13" max="13" width="27" customWidth="1"/>
    <col min="14" max="14" width="7.75" customWidth="1"/>
    <col min="15" max="15" width="18.08203125" customWidth="1"/>
    <col min="16" max="26" width="7.75" customWidth="1"/>
  </cols>
  <sheetData>
    <row r="1" spans="1:20" ht="18.5" x14ac:dyDescent="0.45">
      <c r="A1" s="109" t="s">
        <v>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9"/>
      <c r="O1" s="19"/>
      <c r="P1" s="19"/>
      <c r="Q1" s="19"/>
      <c r="R1" s="19"/>
    </row>
    <row r="2" spans="1:20" ht="18.5" x14ac:dyDescent="0.45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20"/>
      <c r="O2" s="20"/>
      <c r="P2" s="20"/>
      <c r="Q2" s="20"/>
      <c r="R2" s="20"/>
    </row>
    <row r="3" spans="1:20" ht="18.5" x14ac:dyDescent="0.45">
      <c r="A3" s="109" t="s">
        <v>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20"/>
      <c r="O3" s="20"/>
      <c r="P3" s="20"/>
      <c r="Q3" s="20"/>
      <c r="R3" s="20"/>
    </row>
    <row r="4" spans="1:20" ht="18.75" customHeight="1" x14ac:dyDescent="0.45">
      <c r="A4" s="116" t="s">
        <v>27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9"/>
      <c r="O4" s="19"/>
      <c r="P4" s="19"/>
      <c r="Q4" s="19"/>
      <c r="R4" s="19"/>
    </row>
    <row r="5" spans="1:20" ht="18.75" customHeight="1" x14ac:dyDescent="0.4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9"/>
      <c r="O5" s="19"/>
      <c r="P5" s="19"/>
      <c r="Q5" s="19"/>
      <c r="R5" s="19"/>
    </row>
    <row r="6" spans="1:20" ht="18.5" x14ac:dyDescent="0.45">
      <c r="A6" s="1"/>
      <c r="B6" s="21"/>
      <c r="C6" s="22"/>
      <c r="D6" s="20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20" ht="18.5" x14ac:dyDescent="0.45">
      <c r="A7" s="1"/>
      <c r="B7" s="23" t="s">
        <v>3</v>
      </c>
      <c r="C7" s="117" t="s">
        <v>4</v>
      </c>
      <c r="D7" s="117"/>
      <c r="E7" s="117"/>
      <c r="F7" s="117"/>
      <c r="G7" s="117"/>
      <c r="H7" s="117"/>
      <c r="I7" s="117"/>
      <c r="J7" s="117"/>
      <c r="K7" s="24"/>
      <c r="L7" s="5" t="s">
        <v>5</v>
      </c>
      <c r="M7" s="88" t="s">
        <v>116</v>
      </c>
      <c r="N7" s="25"/>
      <c r="O7" s="25"/>
      <c r="P7" s="25"/>
      <c r="Q7" s="25"/>
      <c r="R7" s="25"/>
      <c r="S7" s="25"/>
      <c r="T7" s="25"/>
    </row>
    <row r="8" spans="1:20" ht="18.5" x14ac:dyDescent="0.45">
      <c r="A8" s="1"/>
      <c r="B8" s="26" t="s">
        <v>6</v>
      </c>
      <c r="C8" s="153" t="s">
        <v>113</v>
      </c>
      <c r="D8" s="113"/>
      <c r="E8" s="113"/>
      <c r="F8" s="113"/>
      <c r="G8" s="113"/>
      <c r="H8" s="113"/>
      <c r="I8" s="113"/>
      <c r="J8" s="113"/>
      <c r="K8" s="24"/>
      <c r="L8" s="5" t="s">
        <v>7</v>
      </c>
      <c r="M8" s="5" t="s">
        <v>117</v>
      </c>
      <c r="N8" s="25"/>
      <c r="O8" s="25"/>
      <c r="P8" s="25"/>
      <c r="Q8" s="25"/>
      <c r="R8" s="25"/>
      <c r="S8" s="25"/>
      <c r="T8" s="25"/>
    </row>
    <row r="9" spans="1:20" ht="15.5" x14ac:dyDescent="0.35">
      <c r="B9" s="5" t="s">
        <v>9</v>
      </c>
      <c r="C9" s="114" t="s">
        <v>115</v>
      </c>
      <c r="D9" s="115"/>
      <c r="E9" s="115"/>
      <c r="F9" s="115"/>
      <c r="G9" s="115"/>
      <c r="H9" s="115"/>
      <c r="I9" s="115"/>
      <c r="J9" s="115"/>
      <c r="K9" s="24"/>
      <c r="L9" s="27"/>
      <c r="M9" s="27"/>
    </row>
    <row r="10" spans="1:20" ht="15.5" x14ac:dyDescent="0.35">
      <c r="B10" s="5" t="s">
        <v>28</v>
      </c>
      <c r="C10" s="114" t="s">
        <v>114</v>
      </c>
      <c r="D10" s="114"/>
      <c r="E10" s="114"/>
      <c r="F10" s="114"/>
      <c r="G10" s="114"/>
      <c r="H10" s="114"/>
      <c r="I10" s="114"/>
      <c r="J10" s="114"/>
      <c r="K10" s="24"/>
      <c r="L10" s="24"/>
      <c r="M10" s="24"/>
    </row>
    <row r="12" spans="1:20" ht="24" customHeight="1" x14ac:dyDescent="0.35">
      <c r="A12" s="118" t="s">
        <v>29</v>
      </c>
      <c r="B12" s="118" t="s">
        <v>30</v>
      </c>
      <c r="C12" s="118" t="s">
        <v>31</v>
      </c>
      <c r="D12" s="120" t="s">
        <v>32</v>
      </c>
      <c r="E12" s="112"/>
      <c r="F12" s="112"/>
      <c r="G12" s="112"/>
      <c r="H12" s="112"/>
      <c r="I12" s="112"/>
      <c r="J12" s="112"/>
      <c r="K12" s="112"/>
      <c r="L12" s="112"/>
      <c r="M12" s="108"/>
      <c r="N12" s="1"/>
      <c r="O12" s="1"/>
      <c r="P12" s="1"/>
      <c r="Q12" s="1"/>
      <c r="R12" s="1"/>
    </row>
    <row r="13" spans="1:20" ht="36" customHeight="1" x14ac:dyDescent="0.35">
      <c r="A13" s="119"/>
      <c r="B13" s="119"/>
      <c r="C13" s="119"/>
      <c r="D13" s="28">
        <v>1</v>
      </c>
      <c r="E13" s="28">
        <v>2</v>
      </c>
      <c r="F13" s="28">
        <v>3</v>
      </c>
      <c r="G13" s="28">
        <v>4</v>
      </c>
      <c r="H13" s="28">
        <v>5</v>
      </c>
      <c r="I13" s="28">
        <v>6</v>
      </c>
      <c r="J13" s="28">
        <v>7</v>
      </c>
      <c r="K13" s="28">
        <v>8</v>
      </c>
      <c r="L13" s="29" t="s">
        <v>33</v>
      </c>
      <c r="M13" s="29" t="s">
        <v>34</v>
      </c>
      <c r="N13" s="1"/>
      <c r="O13" s="1"/>
      <c r="P13" s="1"/>
      <c r="Q13" s="1"/>
      <c r="R13" s="1"/>
    </row>
    <row r="14" spans="1:20" ht="15.5" x14ac:dyDescent="0.35">
      <c r="A14" s="68">
        <v>1</v>
      </c>
      <c r="B14" s="104" t="s">
        <v>91</v>
      </c>
      <c r="C14" s="103" t="s">
        <v>63</v>
      </c>
      <c r="D14" s="70" t="s">
        <v>56</v>
      </c>
      <c r="E14" s="70" t="s">
        <v>56</v>
      </c>
      <c r="F14" s="70" t="s">
        <v>56</v>
      </c>
      <c r="G14" s="70" t="s">
        <v>56</v>
      </c>
      <c r="H14" s="70" t="s">
        <v>56</v>
      </c>
      <c r="I14" s="70" t="s">
        <v>56</v>
      </c>
      <c r="J14" s="70" t="s">
        <v>56</v>
      </c>
      <c r="K14" s="70" t="s">
        <v>56</v>
      </c>
      <c r="L14" s="71">
        <v>8</v>
      </c>
      <c r="M14" s="30"/>
      <c r="N14" s="31"/>
      <c r="O14" s="1"/>
      <c r="P14" s="70" t="s">
        <v>56</v>
      </c>
      <c r="Q14" s="1" t="s">
        <v>58</v>
      </c>
      <c r="R14" s="1"/>
    </row>
    <row r="15" spans="1:20" ht="15.5" x14ac:dyDescent="0.35">
      <c r="A15" s="68">
        <v>2</v>
      </c>
      <c r="B15" s="104" t="s">
        <v>92</v>
      </c>
      <c r="C15" s="103" t="s">
        <v>64</v>
      </c>
      <c r="D15" s="70" t="s">
        <v>56</v>
      </c>
      <c r="E15" s="70" t="s">
        <v>56</v>
      </c>
      <c r="F15" s="70" t="s">
        <v>56</v>
      </c>
      <c r="G15" s="70" t="s">
        <v>56</v>
      </c>
      <c r="H15" s="70" t="s">
        <v>56</v>
      </c>
      <c r="I15" s="70" t="s">
        <v>56</v>
      </c>
      <c r="J15" s="70" t="s">
        <v>56</v>
      </c>
      <c r="K15" s="70" t="s">
        <v>56</v>
      </c>
      <c r="L15" s="71">
        <v>8</v>
      </c>
      <c r="M15" s="32"/>
      <c r="N15" s="31"/>
    </row>
    <row r="16" spans="1:20" ht="15.5" x14ac:dyDescent="0.35">
      <c r="A16" s="68">
        <v>3</v>
      </c>
      <c r="B16" s="104" t="s">
        <v>93</v>
      </c>
      <c r="C16" s="103" t="s">
        <v>65</v>
      </c>
      <c r="D16" s="70" t="s">
        <v>56</v>
      </c>
      <c r="E16" s="95" t="s">
        <v>118</v>
      </c>
      <c r="F16" s="95" t="s">
        <v>118</v>
      </c>
      <c r="G16" s="95" t="s">
        <v>118</v>
      </c>
      <c r="H16" s="95" t="s">
        <v>118</v>
      </c>
      <c r="I16" s="95" t="s">
        <v>118</v>
      </c>
      <c r="J16" s="70" t="s">
        <v>56</v>
      </c>
      <c r="K16" s="70" t="s">
        <v>56</v>
      </c>
      <c r="L16" s="71">
        <v>3</v>
      </c>
      <c r="M16" s="151" t="s">
        <v>120</v>
      </c>
      <c r="N16" s="31"/>
    </row>
    <row r="17" spans="1:14" ht="15.5" x14ac:dyDescent="0.35">
      <c r="A17" s="68">
        <v>4</v>
      </c>
      <c r="B17" s="104" t="s">
        <v>94</v>
      </c>
      <c r="C17" s="103" t="s">
        <v>66</v>
      </c>
      <c r="D17" s="70" t="s">
        <v>56</v>
      </c>
      <c r="E17" s="70" t="s">
        <v>56</v>
      </c>
      <c r="F17" s="70" t="s">
        <v>56</v>
      </c>
      <c r="G17" s="70" t="s">
        <v>56</v>
      </c>
      <c r="H17" s="70" t="s">
        <v>56</v>
      </c>
      <c r="I17" s="70" t="s">
        <v>56</v>
      </c>
      <c r="J17" s="70" t="s">
        <v>56</v>
      </c>
      <c r="K17" s="70" t="s">
        <v>56</v>
      </c>
      <c r="L17" s="71">
        <v>8</v>
      </c>
      <c r="M17" s="32"/>
      <c r="N17" s="31"/>
    </row>
    <row r="18" spans="1:14" ht="15.5" x14ac:dyDescent="0.35">
      <c r="A18" s="68">
        <v>5</v>
      </c>
      <c r="B18" s="104" t="s">
        <v>95</v>
      </c>
      <c r="C18" s="103" t="s">
        <v>67</v>
      </c>
      <c r="D18" s="97" t="s">
        <v>118</v>
      </c>
      <c r="E18" s="70" t="s">
        <v>56</v>
      </c>
      <c r="F18" s="70" t="s">
        <v>56</v>
      </c>
      <c r="G18" s="70" t="s">
        <v>56</v>
      </c>
      <c r="H18" s="70" t="s">
        <v>56</v>
      </c>
      <c r="I18" s="70" t="s">
        <v>56</v>
      </c>
      <c r="J18" s="70" t="s">
        <v>56</v>
      </c>
      <c r="K18" s="70" t="s">
        <v>56</v>
      </c>
      <c r="L18" s="71">
        <v>7</v>
      </c>
      <c r="M18" s="151" t="s">
        <v>119</v>
      </c>
      <c r="N18" s="31"/>
    </row>
    <row r="19" spans="1:14" ht="15.75" customHeight="1" x14ac:dyDescent="0.35">
      <c r="A19" s="68">
        <v>6</v>
      </c>
      <c r="B19" s="104" t="s">
        <v>96</v>
      </c>
      <c r="C19" s="103" t="s">
        <v>68</v>
      </c>
      <c r="D19" s="70" t="s">
        <v>56</v>
      </c>
      <c r="E19" s="70" t="s">
        <v>56</v>
      </c>
      <c r="F19" s="70" t="s">
        <v>56</v>
      </c>
      <c r="G19" s="70" t="s">
        <v>56</v>
      </c>
      <c r="H19" s="70" t="s">
        <v>56</v>
      </c>
      <c r="I19" s="70" t="s">
        <v>56</v>
      </c>
      <c r="J19" s="70" t="s">
        <v>56</v>
      </c>
      <c r="K19" s="70" t="s">
        <v>56</v>
      </c>
      <c r="L19" s="71">
        <v>8</v>
      </c>
      <c r="M19" s="32"/>
      <c r="N19" s="31"/>
    </row>
    <row r="20" spans="1:14" ht="15.75" customHeight="1" x14ac:dyDescent="0.35">
      <c r="A20" s="68">
        <v>7</v>
      </c>
      <c r="B20" s="104" t="s">
        <v>97</v>
      </c>
      <c r="C20" s="103" t="s">
        <v>69</v>
      </c>
      <c r="D20" s="70" t="s">
        <v>56</v>
      </c>
      <c r="E20" s="70" t="s">
        <v>56</v>
      </c>
      <c r="F20" s="70" t="s">
        <v>56</v>
      </c>
      <c r="G20" s="70" t="s">
        <v>56</v>
      </c>
      <c r="H20" s="70" t="s">
        <v>56</v>
      </c>
      <c r="I20" s="70" t="s">
        <v>56</v>
      </c>
      <c r="J20" s="70" t="s">
        <v>56</v>
      </c>
      <c r="K20" s="70" t="s">
        <v>56</v>
      </c>
      <c r="L20" s="71">
        <v>8</v>
      </c>
      <c r="M20" s="32"/>
      <c r="N20" s="31"/>
    </row>
    <row r="21" spans="1:14" ht="15.75" customHeight="1" x14ac:dyDescent="0.35">
      <c r="A21" s="68">
        <v>8</v>
      </c>
      <c r="B21" s="104" t="s">
        <v>98</v>
      </c>
      <c r="C21" s="103" t="s">
        <v>70</v>
      </c>
      <c r="D21" s="70" t="s">
        <v>56</v>
      </c>
      <c r="E21" s="70" t="s">
        <v>56</v>
      </c>
      <c r="F21" s="70" t="s">
        <v>56</v>
      </c>
      <c r="G21" s="70" t="s">
        <v>56</v>
      </c>
      <c r="H21" s="70" t="s">
        <v>56</v>
      </c>
      <c r="I21" s="70" t="s">
        <v>56</v>
      </c>
      <c r="J21" s="70" t="s">
        <v>56</v>
      </c>
      <c r="K21" s="70" t="s">
        <v>56</v>
      </c>
      <c r="L21" s="71">
        <v>8</v>
      </c>
      <c r="M21" s="32"/>
      <c r="N21" s="31"/>
    </row>
    <row r="22" spans="1:14" ht="15.75" customHeight="1" x14ac:dyDescent="0.35">
      <c r="A22" s="68">
        <v>9</v>
      </c>
      <c r="B22" s="104" t="s">
        <v>99</v>
      </c>
      <c r="C22" s="103" t="s">
        <v>71</v>
      </c>
      <c r="D22" s="70" t="s">
        <v>56</v>
      </c>
      <c r="E22" s="95" t="s">
        <v>118</v>
      </c>
      <c r="F22" s="70" t="s">
        <v>56</v>
      </c>
      <c r="G22" s="70" t="s">
        <v>56</v>
      </c>
      <c r="H22" s="70" t="s">
        <v>56</v>
      </c>
      <c r="I22" s="70" t="s">
        <v>56</v>
      </c>
      <c r="J22" s="70" t="s">
        <v>56</v>
      </c>
      <c r="K22" s="70" t="s">
        <v>56</v>
      </c>
      <c r="L22" s="71">
        <v>7</v>
      </c>
      <c r="M22" s="151" t="s">
        <v>119</v>
      </c>
      <c r="N22" s="31"/>
    </row>
    <row r="23" spans="1:14" ht="15.75" customHeight="1" x14ac:dyDescent="0.35">
      <c r="A23" s="68">
        <v>10</v>
      </c>
      <c r="B23" s="104" t="s">
        <v>100</v>
      </c>
      <c r="C23" s="103" t="s">
        <v>72</v>
      </c>
      <c r="D23" s="70" t="s">
        <v>56</v>
      </c>
      <c r="E23" s="70" t="s">
        <v>56</v>
      </c>
      <c r="F23" s="70" t="s">
        <v>56</v>
      </c>
      <c r="G23" s="70" t="s">
        <v>56</v>
      </c>
      <c r="H23" s="70" t="s">
        <v>56</v>
      </c>
      <c r="I23" s="70" t="s">
        <v>56</v>
      </c>
      <c r="J23" s="70" t="s">
        <v>56</v>
      </c>
      <c r="K23" s="70" t="s">
        <v>56</v>
      </c>
      <c r="L23" s="71">
        <v>8</v>
      </c>
      <c r="M23" s="32"/>
      <c r="N23" s="31"/>
    </row>
    <row r="24" spans="1:14" ht="15.75" customHeight="1" x14ac:dyDescent="0.35">
      <c r="A24" s="68">
        <v>11</v>
      </c>
      <c r="B24" s="104" t="s">
        <v>101</v>
      </c>
      <c r="C24" s="103" t="s">
        <v>73</v>
      </c>
      <c r="D24" s="70" t="s">
        <v>56</v>
      </c>
      <c r="E24" s="70" t="s">
        <v>56</v>
      </c>
      <c r="F24" s="70" t="s">
        <v>56</v>
      </c>
      <c r="G24" s="70" t="s">
        <v>56</v>
      </c>
      <c r="H24" s="70" t="s">
        <v>56</v>
      </c>
      <c r="I24" s="70" t="s">
        <v>56</v>
      </c>
      <c r="J24" s="70" t="s">
        <v>56</v>
      </c>
      <c r="K24" s="70" t="s">
        <v>56</v>
      </c>
      <c r="L24" s="71">
        <v>8</v>
      </c>
      <c r="M24" s="32"/>
      <c r="N24" s="31"/>
    </row>
    <row r="25" spans="1:14" ht="15.75" customHeight="1" x14ac:dyDescent="0.35">
      <c r="A25" s="68">
        <v>12</v>
      </c>
      <c r="B25" s="104" t="s">
        <v>102</v>
      </c>
      <c r="C25" s="103" t="s">
        <v>74</v>
      </c>
      <c r="D25" s="70" t="s">
        <v>56</v>
      </c>
      <c r="E25" s="70" t="s">
        <v>56</v>
      </c>
      <c r="F25" s="70" t="s">
        <v>56</v>
      </c>
      <c r="G25" s="70" t="s">
        <v>56</v>
      </c>
      <c r="H25" s="70" t="s">
        <v>56</v>
      </c>
      <c r="I25" s="70" t="s">
        <v>56</v>
      </c>
      <c r="J25" s="70" t="s">
        <v>56</v>
      </c>
      <c r="K25" s="70" t="s">
        <v>56</v>
      </c>
      <c r="L25" s="71">
        <v>8</v>
      </c>
      <c r="M25" s="32"/>
      <c r="N25" s="31"/>
    </row>
    <row r="26" spans="1:14" ht="15.75" customHeight="1" x14ac:dyDescent="0.35">
      <c r="A26" s="68">
        <v>13</v>
      </c>
      <c r="B26" s="104" t="s">
        <v>103</v>
      </c>
      <c r="C26" s="103" t="s">
        <v>75</v>
      </c>
      <c r="D26" s="70" t="s">
        <v>56</v>
      </c>
      <c r="E26" s="70" t="s">
        <v>56</v>
      </c>
      <c r="F26" s="70" t="s">
        <v>56</v>
      </c>
      <c r="G26" s="70" t="s">
        <v>56</v>
      </c>
      <c r="H26" s="70" t="s">
        <v>56</v>
      </c>
      <c r="I26" s="70" t="s">
        <v>56</v>
      </c>
      <c r="J26" s="70" t="s">
        <v>56</v>
      </c>
      <c r="K26" s="70" t="s">
        <v>56</v>
      </c>
      <c r="L26" s="71">
        <v>8</v>
      </c>
      <c r="M26" s="32"/>
      <c r="N26" s="31"/>
    </row>
    <row r="27" spans="1:14" ht="15.75" customHeight="1" x14ac:dyDescent="0.35">
      <c r="A27" s="68">
        <v>14</v>
      </c>
      <c r="B27" s="104" t="s">
        <v>104</v>
      </c>
      <c r="C27" s="103" t="s">
        <v>76</v>
      </c>
      <c r="D27" s="70" t="s">
        <v>56</v>
      </c>
      <c r="E27" s="70" t="s">
        <v>56</v>
      </c>
      <c r="F27" s="70" t="s">
        <v>56</v>
      </c>
      <c r="G27" s="70" t="s">
        <v>56</v>
      </c>
      <c r="H27" s="70" t="s">
        <v>56</v>
      </c>
      <c r="I27" s="70" t="s">
        <v>56</v>
      </c>
      <c r="J27" s="70" t="s">
        <v>56</v>
      </c>
      <c r="K27" s="70" t="s">
        <v>56</v>
      </c>
      <c r="L27" s="71">
        <v>8</v>
      </c>
      <c r="M27" s="32"/>
      <c r="N27" s="31"/>
    </row>
    <row r="28" spans="1:14" ht="15.75" customHeight="1" x14ac:dyDescent="0.35">
      <c r="A28" s="68">
        <v>15</v>
      </c>
      <c r="B28" s="104" t="s">
        <v>105</v>
      </c>
      <c r="C28" s="103" t="s">
        <v>77</v>
      </c>
      <c r="D28" s="94" t="s">
        <v>118</v>
      </c>
      <c r="E28" s="70" t="s">
        <v>56</v>
      </c>
      <c r="F28" s="70" t="s">
        <v>56</v>
      </c>
      <c r="G28" s="70" t="s">
        <v>56</v>
      </c>
      <c r="H28" s="70" t="s">
        <v>56</v>
      </c>
      <c r="I28" s="70" t="s">
        <v>56</v>
      </c>
      <c r="J28" s="70" t="s">
        <v>56</v>
      </c>
      <c r="K28" s="70" t="s">
        <v>56</v>
      </c>
      <c r="L28" s="71">
        <v>7</v>
      </c>
      <c r="M28" s="151" t="s">
        <v>119</v>
      </c>
      <c r="N28" s="31"/>
    </row>
    <row r="29" spans="1:14" ht="15.75" customHeight="1" x14ac:dyDescent="0.35">
      <c r="A29" s="68">
        <v>16</v>
      </c>
      <c r="B29" s="104" t="s">
        <v>106</v>
      </c>
      <c r="C29" s="103" t="s">
        <v>78</v>
      </c>
      <c r="D29" s="70" t="s">
        <v>56</v>
      </c>
      <c r="E29" s="70" t="s">
        <v>56</v>
      </c>
      <c r="F29" s="70" t="s">
        <v>56</v>
      </c>
      <c r="G29" s="70" t="s">
        <v>56</v>
      </c>
      <c r="H29" s="70" t="s">
        <v>56</v>
      </c>
      <c r="I29" s="70" t="s">
        <v>56</v>
      </c>
      <c r="J29" s="70" t="s">
        <v>56</v>
      </c>
      <c r="K29" s="70" t="s">
        <v>56</v>
      </c>
      <c r="L29" s="71">
        <v>8</v>
      </c>
      <c r="M29" s="32"/>
      <c r="N29" s="31"/>
    </row>
    <row r="30" spans="1:14" ht="15.75" customHeight="1" x14ac:dyDescent="0.35">
      <c r="A30" s="68">
        <v>17</v>
      </c>
      <c r="B30" s="104" t="s">
        <v>107</v>
      </c>
      <c r="C30" s="103" t="s">
        <v>79</v>
      </c>
      <c r="D30" s="70" t="s">
        <v>56</v>
      </c>
      <c r="E30" s="70" t="s">
        <v>56</v>
      </c>
      <c r="F30" s="70" t="s">
        <v>56</v>
      </c>
      <c r="G30" s="70" t="s">
        <v>56</v>
      </c>
      <c r="H30" s="70" t="s">
        <v>56</v>
      </c>
      <c r="I30" s="70" t="s">
        <v>56</v>
      </c>
      <c r="J30" s="70" t="s">
        <v>56</v>
      </c>
      <c r="K30" s="70" t="s">
        <v>56</v>
      </c>
      <c r="L30" s="71">
        <v>8</v>
      </c>
      <c r="M30" s="32"/>
      <c r="N30" s="31"/>
    </row>
    <row r="31" spans="1:14" ht="15.75" customHeight="1" x14ac:dyDescent="0.35">
      <c r="A31" s="68">
        <v>18</v>
      </c>
      <c r="B31" s="104" t="s">
        <v>108</v>
      </c>
      <c r="C31" s="103" t="s">
        <v>80</v>
      </c>
      <c r="D31" s="70" t="s">
        <v>56</v>
      </c>
      <c r="E31" s="70" t="s">
        <v>56</v>
      </c>
      <c r="F31" s="70" t="s">
        <v>56</v>
      </c>
      <c r="G31" s="70" t="s">
        <v>56</v>
      </c>
      <c r="H31" s="70" t="s">
        <v>56</v>
      </c>
      <c r="I31" s="70" t="s">
        <v>56</v>
      </c>
      <c r="J31" s="70" t="s">
        <v>56</v>
      </c>
      <c r="K31" s="70" t="s">
        <v>56</v>
      </c>
      <c r="L31" s="71">
        <v>8</v>
      </c>
      <c r="M31" s="32"/>
      <c r="N31" s="31"/>
    </row>
    <row r="32" spans="1:14" ht="15.75" customHeight="1" x14ac:dyDescent="0.35">
      <c r="A32" s="68">
        <v>19</v>
      </c>
      <c r="B32" s="104" t="s">
        <v>109</v>
      </c>
      <c r="C32" s="103" t="s">
        <v>81</v>
      </c>
      <c r="D32" s="70" t="s">
        <v>56</v>
      </c>
      <c r="E32" s="70" t="s">
        <v>56</v>
      </c>
      <c r="F32" s="70" t="s">
        <v>56</v>
      </c>
      <c r="G32" s="70" t="s">
        <v>56</v>
      </c>
      <c r="H32" s="70" t="s">
        <v>56</v>
      </c>
      <c r="I32" s="70" t="s">
        <v>56</v>
      </c>
      <c r="J32" s="70" t="s">
        <v>56</v>
      </c>
      <c r="K32" s="70" t="s">
        <v>56</v>
      </c>
      <c r="L32" s="71">
        <v>8</v>
      </c>
      <c r="M32" s="32"/>
      <c r="N32" s="31"/>
    </row>
    <row r="33" spans="1:14" ht="15.75" customHeight="1" x14ac:dyDescent="0.35">
      <c r="A33" s="68">
        <v>20</v>
      </c>
      <c r="B33" s="104" t="s">
        <v>110</v>
      </c>
      <c r="C33" s="103" t="s">
        <v>82</v>
      </c>
      <c r="D33" s="70" t="s">
        <v>56</v>
      </c>
      <c r="E33" s="70" t="s">
        <v>56</v>
      </c>
      <c r="F33" s="70" t="s">
        <v>56</v>
      </c>
      <c r="G33" s="70" t="s">
        <v>56</v>
      </c>
      <c r="H33" s="70" t="s">
        <v>56</v>
      </c>
      <c r="I33" s="70" t="s">
        <v>56</v>
      </c>
      <c r="J33" s="70" t="s">
        <v>56</v>
      </c>
      <c r="K33" s="70" t="s">
        <v>56</v>
      </c>
      <c r="L33" s="71">
        <v>8</v>
      </c>
      <c r="M33" s="32"/>
      <c r="N33" s="31"/>
    </row>
    <row r="34" spans="1:14" ht="15.75" customHeight="1" x14ac:dyDescent="0.35">
      <c r="A34" s="68">
        <v>21</v>
      </c>
      <c r="B34" s="104" t="s">
        <v>111</v>
      </c>
      <c r="C34" s="103" t="s">
        <v>83</v>
      </c>
      <c r="D34" s="70" t="s">
        <v>56</v>
      </c>
      <c r="E34" s="70" t="s">
        <v>56</v>
      </c>
      <c r="F34" s="70" t="s">
        <v>56</v>
      </c>
      <c r="G34" s="70" t="s">
        <v>56</v>
      </c>
      <c r="H34" s="70" t="s">
        <v>56</v>
      </c>
      <c r="I34" s="70" t="s">
        <v>56</v>
      </c>
      <c r="J34" s="70" t="s">
        <v>56</v>
      </c>
      <c r="K34" s="70" t="s">
        <v>56</v>
      </c>
      <c r="L34" s="71">
        <v>8</v>
      </c>
      <c r="M34" s="32"/>
      <c r="N34" s="31"/>
    </row>
    <row r="35" spans="1:14" ht="15.75" customHeight="1" x14ac:dyDescent="0.35">
      <c r="A35" s="68">
        <v>22</v>
      </c>
      <c r="B35" s="104" t="s">
        <v>112</v>
      </c>
      <c r="C35" s="103" t="s">
        <v>84</v>
      </c>
      <c r="D35" s="70" t="s">
        <v>56</v>
      </c>
      <c r="E35" s="70" t="s">
        <v>56</v>
      </c>
      <c r="F35" s="70" t="s">
        <v>56</v>
      </c>
      <c r="G35" s="70" t="s">
        <v>56</v>
      </c>
      <c r="H35" s="70" t="s">
        <v>56</v>
      </c>
      <c r="I35" s="70" t="s">
        <v>56</v>
      </c>
      <c r="J35" s="70" t="s">
        <v>56</v>
      </c>
      <c r="K35" s="70" t="s">
        <v>56</v>
      </c>
      <c r="L35" s="71">
        <v>8</v>
      </c>
      <c r="M35" s="32"/>
      <c r="N35" s="31"/>
    </row>
    <row r="36" spans="1:14" ht="15.75" customHeight="1" x14ac:dyDescent="0.35">
      <c r="A36" s="68">
        <v>23</v>
      </c>
      <c r="B36" s="104">
        <v>233510611</v>
      </c>
      <c r="C36" s="103" t="s">
        <v>85</v>
      </c>
      <c r="D36" s="70" t="s">
        <v>56</v>
      </c>
      <c r="E36" s="95" t="s">
        <v>118</v>
      </c>
      <c r="F36" s="70" t="s">
        <v>56</v>
      </c>
      <c r="G36" s="70" t="s">
        <v>56</v>
      </c>
      <c r="H36" s="70" t="s">
        <v>56</v>
      </c>
      <c r="I36" s="70" t="s">
        <v>56</v>
      </c>
      <c r="J36" s="70" t="s">
        <v>56</v>
      </c>
      <c r="K36" s="70" t="s">
        <v>56</v>
      </c>
      <c r="L36" s="71">
        <v>7</v>
      </c>
      <c r="M36" s="151" t="s">
        <v>119</v>
      </c>
      <c r="N36" s="31"/>
    </row>
    <row r="37" spans="1:14" ht="15.75" customHeight="1" x14ac:dyDescent="0.35">
      <c r="A37" s="68">
        <v>24</v>
      </c>
      <c r="B37" s="104">
        <v>233510718</v>
      </c>
      <c r="C37" s="103" t="s">
        <v>86</v>
      </c>
      <c r="D37" s="70" t="s">
        <v>56</v>
      </c>
      <c r="E37" s="95" t="s">
        <v>118</v>
      </c>
      <c r="F37" s="70" t="s">
        <v>56</v>
      </c>
      <c r="G37" s="70" t="s">
        <v>56</v>
      </c>
      <c r="H37" s="70" t="s">
        <v>56</v>
      </c>
      <c r="I37" s="70" t="s">
        <v>56</v>
      </c>
      <c r="J37" s="70" t="s">
        <v>56</v>
      </c>
      <c r="K37" s="70" t="s">
        <v>56</v>
      </c>
      <c r="L37" s="71">
        <v>7</v>
      </c>
      <c r="M37" s="152" t="s">
        <v>119</v>
      </c>
      <c r="N37" s="31"/>
    </row>
    <row r="38" spans="1:14" ht="15.75" customHeight="1" x14ac:dyDescent="0.35">
      <c r="A38" s="68">
        <v>25</v>
      </c>
      <c r="B38" s="104">
        <v>233510819</v>
      </c>
      <c r="C38" s="103" t="s">
        <v>87</v>
      </c>
      <c r="D38" s="70" t="s">
        <v>56</v>
      </c>
      <c r="E38" s="70" t="s">
        <v>56</v>
      </c>
      <c r="F38" s="70" t="s">
        <v>56</v>
      </c>
      <c r="G38" s="70" t="s">
        <v>56</v>
      </c>
      <c r="H38" s="70" t="s">
        <v>56</v>
      </c>
      <c r="I38" s="70" t="s">
        <v>56</v>
      </c>
      <c r="J38" s="70" t="s">
        <v>56</v>
      </c>
      <c r="K38" s="70" t="s">
        <v>56</v>
      </c>
      <c r="L38" s="72">
        <v>8</v>
      </c>
      <c r="M38" s="32"/>
      <c r="N38" s="31"/>
    </row>
    <row r="39" spans="1:14" ht="15.75" customHeight="1" x14ac:dyDescent="0.35">
      <c r="A39" s="68">
        <v>26</v>
      </c>
      <c r="B39" s="104">
        <v>233510506</v>
      </c>
      <c r="C39" s="103" t="s">
        <v>88</v>
      </c>
      <c r="D39" s="70" t="s">
        <v>56</v>
      </c>
      <c r="E39" s="70" t="s">
        <v>56</v>
      </c>
      <c r="F39" s="70" t="s">
        <v>56</v>
      </c>
      <c r="G39" s="70" t="s">
        <v>56</v>
      </c>
      <c r="H39" s="70" t="s">
        <v>56</v>
      </c>
      <c r="I39" s="70" t="s">
        <v>56</v>
      </c>
      <c r="J39" s="70" t="s">
        <v>56</v>
      </c>
      <c r="K39" s="70" t="s">
        <v>56</v>
      </c>
      <c r="L39" s="71">
        <v>8</v>
      </c>
      <c r="M39" s="32"/>
      <c r="N39" s="31"/>
    </row>
    <row r="40" spans="1:14" ht="15.75" customHeight="1" x14ac:dyDescent="0.35">
      <c r="A40" s="68">
        <v>27</v>
      </c>
      <c r="B40" s="104">
        <v>233510771</v>
      </c>
      <c r="C40" s="103" t="s">
        <v>89</v>
      </c>
      <c r="D40" s="70" t="s">
        <v>56</v>
      </c>
      <c r="E40" s="70" t="s">
        <v>56</v>
      </c>
      <c r="F40" s="70" t="s">
        <v>56</v>
      </c>
      <c r="G40" s="70" t="s">
        <v>56</v>
      </c>
      <c r="H40" s="70" t="s">
        <v>56</v>
      </c>
      <c r="I40" s="70" t="s">
        <v>56</v>
      </c>
      <c r="J40" s="70" t="s">
        <v>56</v>
      </c>
      <c r="K40" s="70" t="s">
        <v>56</v>
      </c>
      <c r="L40" s="72">
        <v>8</v>
      </c>
      <c r="M40" s="32"/>
      <c r="N40" s="31"/>
    </row>
    <row r="41" spans="1:14" ht="15.75" customHeight="1" x14ac:dyDescent="0.35">
      <c r="A41" s="68">
        <v>28</v>
      </c>
      <c r="B41" s="69">
        <v>233510483</v>
      </c>
      <c r="C41" s="103" t="s">
        <v>90</v>
      </c>
      <c r="D41" s="94" t="s">
        <v>118</v>
      </c>
      <c r="E41" s="70" t="s">
        <v>56</v>
      </c>
      <c r="F41" s="70" t="s">
        <v>56</v>
      </c>
      <c r="G41" s="70" t="s">
        <v>56</v>
      </c>
      <c r="H41" s="70" t="s">
        <v>56</v>
      </c>
      <c r="I41" s="70" t="s">
        <v>56</v>
      </c>
      <c r="J41" s="70" t="s">
        <v>56</v>
      </c>
      <c r="K41" s="70" t="s">
        <v>56</v>
      </c>
      <c r="L41" s="71">
        <v>7</v>
      </c>
      <c r="M41" s="151" t="s">
        <v>119</v>
      </c>
      <c r="N41" s="31"/>
    </row>
    <row r="42" spans="1:14" ht="15.75" customHeight="1" x14ac:dyDescent="0.35">
      <c r="A42" s="68">
        <v>29</v>
      </c>
      <c r="B42" s="69"/>
      <c r="C42" s="69"/>
      <c r="D42" s="94"/>
      <c r="E42" s="95"/>
      <c r="F42" s="95"/>
      <c r="G42" s="95"/>
      <c r="H42" s="95"/>
      <c r="I42" s="95"/>
      <c r="J42" s="95"/>
      <c r="K42" s="95"/>
      <c r="L42" s="72"/>
      <c r="M42" s="32"/>
      <c r="N42" s="31"/>
    </row>
    <row r="43" spans="1:14" ht="15.75" customHeight="1" x14ac:dyDescent="0.35">
      <c r="A43" s="68">
        <v>30</v>
      </c>
      <c r="B43" s="69"/>
      <c r="C43" s="69"/>
      <c r="D43" s="94"/>
      <c r="E43" s="95"/>
      <c r="F43" s="95"/>
      <c r="G43" s="95"/>
      <c r="H43" s="95"/>
      <c r="I43" s="96"/>
      <c r="J43" s="96"/>
      <c r="K43" s="95"/>
      <c r="L43" s="71"/>
      <c r="M43" s="32"/>
      <c r="N43" s="31"/>
    </row>
    <row r="44" spans="1:14" ht="15.75" customHeight="1" x14ac:dyDescent="0.35">
      <c r="A44" s="68">
        <v>31</v>
      </c>
      <c r="B44" s="69"/>
      <c r="C44" s="69"/>
      <c r="D44" s="99"/>
      <c r="E44" s="98"/>
      <c r="F44" s="95"/>
      <c r="G44" s="98"/>
      <c r="H44" s="95"/>
      <c r="I44" s="95"/>
      <c r="J44" s="95"/>
      <c r="K44" s="96"/>
      <c r="L44" s="72"/>
      <c r="M44" s="32"/>
      <c r="N44" s="31"/>
    </row>
    <row r="45" spans="1:14" ht="15.75" customHeight="1" x14ac:dyDescent="0.35">
      <c r="A45" s="68">
        <v>32</v>
      </c>
      <c r="B45" s="69"/>
      <c r="C45" s="69"/>
      <c r="D45" s="94"/>
      <c r="E45" s="95"/>
      <c r="F45" s="95"/>
      <c r="G45" s="95"/>
      <c r="H45" s="95"/>
      <c r="I45" s="95"/>
      <c r="J45" s="95"/>
      <c r="K45" s="95"/>
      <c r="L45" s="71"/>
      <c r="M45" s="32"/>
      <c r="N45" s="31"/>
    </row>
    <row r="46" spans="1:14" ht="15.75" customHeight="1" x14ac:dyDescent="0.35">
      <c r="A46" s="68">
        <v>33</v>
      </c>
      <c r="B46" s="69"/>
      <c r="C46" s="69"/>
      <c r="D46" s="94"/>
      <c r="E46" s="95"/>
      <c r="F46" s="95"/>
      <c r="G46" s="95"/>
      <c r="H46" s="95"/>
      <c r="I46" s="95"/>
      <c r="J46" s="95"/>
      <c r="K46" s="95"/>
      <c r="L46" s="72"/>
      <c r="M46" s="32"/>
      <c r="N46" s="31"/>
    </row>
    <row r="47" spans="1:14" ht="15.75" customHeight="1" x14ac:dyDescent="0.35">
      <c r="A47" s="68">
        <v>34</v>
      </c>
      <c r="B47" s="69"/>
      <c r="C47" s="69"/>
      <c r="D47" s="99"/>
      <c r="E47" s="95"/>
      <c r="F47" s="98"/>
      <c r="G47" s="95"/>
      <c r="H47" s="95"/>
      <c r="I47" s="96"/>
      <c r="J47" s="95"/>
      <c r="K47" s="95"/>
      <c r="L47" s="71"/>
      <c r="M47" s="32"/>
      <c r="N47" s="31"/>
    </row>
    <row r="48" spans="1:14" ht="15.75" customHeight="1" x14ac:dyDescent="0.35">
      <c r="A48" s="68">
        <v>35</v>
      </c>
      <c r="B48" s="69"/>
      <c r="C48" s="69"/>
      <c r="D48" s="94"/>
      <c r="E48" s="95"/>
      <c r="F48" s="98"/>
      <c r="G48" s="95"/>
      <c r="H48" s="96"/>
      <c r="I48" s="96"/>
      <c r="J48" s="96"/>
      <c r="K48" s="95"/>
      <c r="L48" s="72"/>
      <c r="M48" s="32"/>
      <c r="N48" s="31"/>
    </row>
    <row r="49" spans="1:26" ht="15.75" customHeight="1" x14ac:dyDescent="0.35">
      <c r="A49" s="68">
        <v>36</v>
      </c>
      <c r="B49" s="69"/>
      <c r="C49" s="69"/>
      <c r="D49" s="94"/>
      <c r="E49" s="95"/>
      <c r="F49" s="95"/>
      <c r="G49" s="95"/>
      <c r="H49" s="95"/>
      <c r="I49" s="95"/>
      <c r="J49" s="95"/>
      <c r="K49" s="95"/>
      <c r="L49" s="71"/>
      <c r="M49" s="32"/>
      <c r="N49" s="31"/>
    </row>
    <row r="50" spans="1:26" ht="15.75" customHeight="1" x14ac:dyDescent="0.35">
      <c r="A50" s="68">
        <v>37</v>
      </c>
      <c r="B50" s="69"/>
      <c r="C50" s="69"/>
      <c r="D50" s="94"/>
      <c r="E50" s="95"/>
      <c r="F50" s="95"/>
      <c r="G50" s="95"/>
      <c r="H50" s="95"/>
      <c r="I50" s="96"/>
      <c r="J50" s="95"/>
      <c r="K50" s="95"/>
      <c r="L50" s="72"/>
      <c r="M50" s="32"/>
      <c r="N50" s="31"/>
    </row>
    <row r="51" spans="1:26" ht="15.75" customHeight="1" x14ac:dyDescent="0.35">
      <c r="A51" s="68">
        <v>38</v>
      </c>
      <c r="B51" s="69"/>
      <c r="C51" s="69"/>
      <c r="D51" s="94"/>
      <c r="E51" s="98"/>
      <c r="F51" s="95"/>
      <c r="G51" s="98"/>
      <c r="H51" s="96"/>
      <c r="I51" s="96"/>
      <c r="J51" s="96"/>
      <c r="K51" s="95"/>
      <c r="L51" s="71"/>
      <c r="M51" s="32"/>
      <c r="N51" s="31"/>
    </row>
    <row r="52" spans="1:26" ht="15.75" customHeight="1" x14ac:dyDescent="0.35">
      <c r="A52" s="68">
        <v>39</v>
      </c>
      <c r="B52" s="69"/>
      <c r="C52" s="69"/>
      <c r="D52" s="99"/>
      <c r="E52" s="95"/>
      <c r="F52" s="98"/>
      <c r="G52" s="95"/>
      <c r="H52" s="95"/>
      <c r="I52" s="96"/>
      <c r="J52" s="95"/>
      <c r="K52" s="95"/>
      <c r="L52" s="72"/>
      <c r="M52" s="32"/>
      <c r="N52" s="31"/>
    </row>
    <row r="53" spans="1:26" ht="15.75" customHeight="1" x14ac:dyDescent="0.35">
      <c r="A53" s="68">
        <v>40</v>
      </c>
      <c r="B53" s="69"/>
      <c r="C53" s="69"/>
      <c r="D53" s="94"/>
      <c r="E53" s="98"/>
      <c r="F53" s="95"/>
      <c r="G53" s="98"/>
      <c r="H53" s="95"/>
      <c r="I53" s="95"/>
      <c r="J53" s="95"/>
      <c r="K53" s="95"/>
      <c r="L53" s="71"/>
      <c r="M53" s="32"/>
      <c r="O53" s="33"/>
    </row>
    <row r="54" spans="1:26" ht="15.75" customHeight="1" x14ac:dyDescent="0.35">
      <c r="A54" s="68">
        <v>41</v>
      </c>
      <c r="B54" s="69"/>
      <c r="C54" s="69"/>
      <c r="D54" s="100"/>
      <c r="E54" s="95"/>
      <c r="F54" s="100"/>
      <c r="G54" s="95"/>
      <c r="H54" s="95"/>
      <c r="I54" s="95"/>
      <c r="J54" s="96"/>
      <c r="K54" s="95"/>
      <c r="L54" s="71"/>
      <c r="M54" s="32"/>
      <c r="N54" s="1"/>
      <c r="O54" s="1"/>
      <c r="P54" s="1"/>
      <c r="Q54" s="1"/>
      <c r="R54" s="1"/>
    </row>
    <row r="55" spans="1:26" ht="15.75" customHeight="1" x14ac:dyDescent="0.35">
      <c r="A55" s="68">
        <v>42</v>
      </c>
      <c r="B55" s="69"/>
      <c r="C55" s="69"/>
      <c r="D55" s="95"/>
      <c r="E55" s="95"/>
      <c r="F55" s="100"/>
      <c r="G55" s="95"/>
      <c r="H55" s="96"/>
      <c r="I55" s="96"/>
      <c r="J55" s="95"/>
      <c r="K55" s="95"/>
      <c r="L55" s="71"/>
      <c r="M55" s="3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68">
        <v>43</v>
      </c>
      <c r="B56" s="69"/>
      <c r="C56" s="69"/>
      <c r="D56" s="95"/>
      <c r="E56" s="95"/>
      <c r="F56" s="98"/>
      <c r="G56" s="95"/>
      <c r="H56" s="95"/>
      <c r="I56" s="95"/>
      <c r="J56" s="95"/>
      <c r="K56" s="95"/>
      <c r="L56" s="71"/>
      <c r="M56" s="32"/>
    </row>
    <row r="57" spans="1:26" ht="15.75" customHeight="1" x14ac:dyDescent="0.35">
      <c r="A57" s="35"/>
      <c r="B57" s="37"/>
      <c r="C57" s="38"/>
      <c r="D57" s="34">
        <f t="shared" ref="D57:K57" si="0">COUNTIF(D14:D56, "Ö")</f>
        <v>25</v>
      </c>
      <c r="E57" s="34">
        <f t="shared" si="0"/>
        <v>24</v>
      </c>
      <c r="F57" s="34">
        <f t="shared" si="0"/>
        <v>27</v>
      </c>
      <c r="G57" s="34">
        <f t="shared" si="0"/>
        <v>27</v>
      </c>
      <c r="H57" s="34">
        <f t="shared" si="0"/>
        <v>27</v>
      </c>
      <c r="I57" s="34">
        <f t="shared" si="0"/>
        <v>27</v>
      </c>
      <c r="J57" s="34">
        <f t="shared" si="0"/>
        <v>28</v>
      </c>
      <c r="K57" s="34">
        <f t="shared" si="0"/>
        <v>28</v>
      </c>
      <c r="L57" s="35"/>
      <c r="M57" s="36"/>
      <c r="N57" s="1"/>
    </row>
    <row r="58" spans="1:26" ht="15.75" customHeight="1" x14ac:dyDescent="0.35">
      <c r="A58" s="1"/>
      <c r="B58" s="35"/>
    </row>
    <row r="59" spans="1:26" ht="15.75" customHeight="1" x14ac:dyDescent="0.35">
      <c r="A59" s="1"/>
      <c r="B59" s="35"/>
    </row>
    <row r="60" spans="1:26" ht="15.75" customHeight="1" x14ac:dyDescent="0.35">
      <c r="A60" s="1"/>
      <c r="B60" s="35"/>
    </row>
    <row r="61" spans="1:26" ht="15.75" customHeight="1" x14ac:dyDescent="0.35">
      <c r="A61" s="1"/>
      <c r="B61" s="35"/>
      <c r="C61" s="6" t="s">
        <v>23</v>
      </c>
      <c r="D61" s="39"/>
      <c r="E61" s="39"/>
      <c r="F61" s="39"/>
      <c r="G61" s="39"/>
      <c r="H61" s="39"/>
      <c r="I61" s="39"/>
      <c r="J61" s="39"/>
      <c r="K61" s="93" t="s">
        <v>122</v>
      </c>
      <c r="L61" s="39"/>
    </row>
    <row r="62" spans="1:26" ht="15.75" customHeight="1" x14ac:dyDescent="0.35">
      <c r="B62" s="35"/>
      <c r="C62" s="6" t="s">
        <v>24</v>
      </c>
      <c r="D62" s="39"/>
      <c r="E62" s="39"/>
      <c r="F62" s="39"/>
      <c r="G62" s="39"/>
      <c r="H62" s="39"/>
      <c r="I62" s="39"/>
      <c r="J62" s="39"/>
      <c r="K62" s="6" t="s">
        <v>35</v>
      </c>
      <c r="L62" s="39"/>
    </row>
    <row r="63" spans="1:26" ht="15.75" customHeight="1" x14ac:dyDescent="0.35">
      <c r="B63" s="35"/>
      <c r="C63" s="1"/>
      <c r="K63" s="1"/>
    </row>
    <row r="64" spans="1:26" ht="15.75" customHeight="1" x14ac:dyDescent="0.35">
      <c r="B64" s="35"/>
      <c r="C64" s="1"/>
      <c r="K64" s="1"/>
    </row>
    <row r="65" spans="2:11" ht="15.75" customHeight="1" x14ac:dyDescent="0.35">
      <c r="B65" s="35"/>
      <c r="C65" s="1"/>
      <c r="K65" s="1"/>
    </row>
    <row r="66" spans="2:11" ht="15.75" customHeight="1" x14ac:dyDescent="0.35">
      <c r="B66" s="35"/>
      <c r="C66" s="1"/>
      <c r="K66" s="1"/>
    </row>
    <row r="67" spans="2:11" ht="15.75" customHeight="1" x14ac:dyDescent="0.35">
      <c r="B67" s="35"/>
      <c r="C67" s="92" t="s">
        <v>123</v>
      </c>
      <c r="K67" s="92" t="s">
        <v>121</v>
      </c>
    </row>
    <row r="68" spans="2:11" ht="15.75" customHeight="1" x14ac:dyDescent="0.3">
      <c r="B68" s="35"/>
    </row>
    <row r="69" spans="2:11" ht="15.75" customHeight="1" x14ac:dyDescent="0.3">
      <c r="B69" s="35"/>
    </row>
    <row r="70" spans="2:11" ht="15.75" customHeight="1" x14ac:dyDescent="0.3">
      <c r="B70" s="35"/>
    </row>
    <row r="71" spans="2:11" ht="15.75" customHeight="1" x14ac:dyDescent="0.3">
      <c r="B71" s="35"/>
    </row>
    <row r="72" spans="2:11" ht="15.75" customHeight="1" x14ac:dyDescent="0.3">
      <c r="B72" s="35"/>
    </row>
    <row r="73" spans="2:11" ht="15.75" customHeight="1" x14ac:dyDescent="0.3">
      <c r="B73" s="35"/>
    </row>
    <row r="74" spans="2:11" ht="15.75" customHeight="1" x14ac:dyDescent="0.3">
      <c r="B74" s="35"/>
    </row>
    <row r="75" spans="2:11" ht="15.75" customHeight="1" x14ac:dyDescent="0.3">
      <c r="B75" s="35"/>
    </row>
    <row r="76" spans="2:11" ht="15.75" customHeight="1" x14ac:dyDescent="0.3">
      <c r="B76" s="35"/>
    </row>
    <row r="77" spans="2:11" ht="15.75" customHeight="1" x14ac:dyDescent="0.3">
      <c r="B77" s="35"/>
    </row>
    <row r="78" spans="2:11" ht="15.75" customHeight="1" x14ac:dyDescent="0.3">
      <c r="B78" s="35"/>
    </row>
    <row r="79" spans="2:11" ht="15.75" customHeight="1" x14ac:dyDescent="0.3">
      <c r="B79" s="35"/>
    </row>
    <row r="80" spans="2:11" ht="15.75" customHeight="1" x14ac:dyDescent="0.3">
      <c r="B80" s="35"/>
    </row>
    <row r="81" spans="2:2" ht="15.75" customHeight="1" x14ac:dyDescent="0.3">
      <c r="B81" s="35"/>
    </row>
    <row r="82" spans="2:2" ht="15.75" customHeight="1" x14ac:dyDescent="0.3">
      <c r="B82" s="35"/>
    </row>
    <row r="83" spans="2:2" ht="15.75" customHeight="1" x14ac:dyDescent="0.3">
      <c r="B83" s="35"/>
    </row>
    <row r="84" spans="2:2" ht="15.75" customHeight="1" x14ac:dyDescent="0.3">
      <c r="B84" s="35"/>
    </row>
    <row r="85" spans="2:2" ht="15.75" customHeight="1" x14ac:dyDescent="0.3">
      <c r="B85" s="35"/>
    </row>
    <row r="86" spans="2:2" ht="15.75" customHeight="1" x14ac:dyDescent="0.3">
      <c r="B86" s="35"/>
    </row>
    <row r="87" spans="2:2" ht="15.75" customHeight="1" x14ac:dyDescent="0.3">
      <c r="B87" s="35"/>
    </row>
    <row r="88" spans="2:2" ht="15.75" customHeight="1" x14ac:dyDescent="0.3">
      <c r="B88" s="35"/>
    </row>
    <row r="89" spans="2:2" ht="15.75" customHeight="1" x14ac:dyDescent="0.3">
      <c r="B89" s="35"/>
    </row>
    <row r="90" spans="2:2" ht="15.75" customHeight="1" x14ac:dyDescent="0.3">
      <c r="B90" s="35"/>
    </row>
    <row r="91" spans="2:2" ht="15.75" customHeight="1" x14ac:dyDescent="0.3">
      <c r="B91" s="35"/>
    </row>
    <row r="92" spans="2:2" ht="15.75" customHeight="1" x14ac:dyDescent="0.3">
      <c r="B92" s="35"/>
    </row>
    <row r="93" spans="2:2" ht="15.75" customHeight="1" x14ac:dyDescent="0.3">
      <c r="B93" s="35"/>
    </row>
    <row r="94" spans="2:2" ht="15.75" customHeight="1" x14ac:dyDescent="0.3">
      <c r="B94" s="35"/>
    </row>
    <row r="95" spans="2:2" ht="15.75" customHeight="1" x14ac:dyDescent="0.3">
      <c r="B95" s="35"/>
    </row>
    <row r="96" spans="2:2" ht="15.75" customHeight="1" x14ac:dyDescent="0.3">
      <c r="B96" s="35"/>
    </row>
    <row r="97" spans="2:2" ht="15.75" customHeight="1" x14ac:dyDescent="0.3">
      <c r="B97" s="35"/>
    </row>
    <row r="98" spans="2:2" ht="15.75" customHeight="1" x14ac:dyDescent="0.3">
      <c r="B98" s="35"/>
    </row>
    <row r="99" spans="2:2" ht="15.75" customHeight="1" x14ac:dyDescent="0.3">
      <c r="B99" s="35"/>
    </row>
    <row r="100" spans="2:2" ht="15.75" customHeight="1" x14ac:dyDescent="0.3">
      <c r="B100" s="35"/>
    </row>
    <row r="101" spans="2:2" ht="15.75" customHeight="1" x14ac:dyDescent="0.3">
      <c r="B101" s="35"/>
    </row>
    <row r="102" spans="2:2" ht="15.75" customHeight="1" x14ac:dyDescent="0.3">
      <c r="B102" s="35"/>
    </row>
    <row r="103" spans="2:2" ht="15.75" customHeight="1" x14ac:dyDescent="0.3">
      <c r="B103" s="35"/>
    </row>
    <row r="104" spans="2:2" ht="15.75" customHeight="1" x14ac:dyDescent="0.3">
      <c r="B104" s="35"/>
    </row>
    <row r="105" spans="2:2" ht="15.75" customHeight="1" x14ac:dyDescent="0.3">
      <c r="B105" s="35"/>
    </row>
    <row r="106" spans="2:2" ht="15.75" customHeight="1" x14ac:dyDescent="0.3">
      <c r="B106" s="35"/>
    </row>
    <row r="107" spans="2:2" ht="15.75" customHeight="1" x14ac:dyDescent="0.3">
      <c r="B107" s="35"/>
    </row>
    <row r="108" spans="2:2" ht="15.75" customHeight="1" x14ac:dyDescent="0.3">
      <c r="B108" s="35"/>
    </row>
    <row r="109" spans="2:2" ht="15.75" customHeight="1" x14ac:dyDescent="0.3">
      <c r="B109" s="35"/>
    </row>
    <row r="110" spans="2:2" ht="15.75" customHeight="1" x14ac:dyDescent="0.3">
      <c r="B110" s="35"/>
    </row>
    <row r="111" spans="2:2" ht="15.75" customHeight="1" x14ac:dyDescent="0.3">
      <c r="B111" s="35"/>
    </row>
    <row r="112" spans="2:2" ht="15.75" customHeight="1" x14ac:dyDescent="0.3">
      <c r="B112" s="35"/>
    </row>
    <row r="113" spans="2:2" ht="15.75" customHeight="1" x14ac:dyDescent="0.3">
      <c r="B113" s="35"/>
    </row>
    <row r="114" spans="2:2" ht="15.75" customHeight="1" x14ac:dyDescent="0.3">
      <c r="B114" s="35"/>
    </row>
    <row r="115" spans="2:2" ht="15.75" customHeight="1" x14ac:dyDescent="0.3">
      <c r="B115" s="35"/>
    </row>
    <row r="116" spans="2:2" ht="15.75" customHeight="1" x14ac:dyDescent="0.3">
      <c r="B116" s="35"/>
    </row>
    <row r="117" spans="2:2" ht="15.75" customHeight="1" x14ac:dyDescent="0.3">
      <c r="B117" s="35"/>
    </row>
    <row r="118" spans="2:2" ht="15.75" customHeight="1" x14ac:dyDescent="0.3">
      <c r="B118" s="35"/>
    </row>
    <row r="119" spans="2:2" ht="15.75" customHeight="1" x14ac:dyDescent="0.3">
      <c r="B119" s="35"/>
    </row>
    <row r="120" spans="2:2" ht="15.75" customHeight="1" x14ac:dyDescent="0.3">
      <c r="B120" s="35"/>
    </row>
    <row r="121" spans="2:2" ht="15.75" customHeight="1" x14ac:dyDescent="0.3">
      <c r="B121" s="35"/>
    </row>
    <row r="122" spans="2:2" ht="15.75" customHeight="1" x14ac:dyDescent="0.3">
      <c r="B122" s="35"/>
    </row>
    <row r="123" spans="2:2" ht="15.75" customHeight="1" x14ac:dyDescent="0.3">
      <c r="B123" s="35"/>
    </row>
    <row r="124" spans="2:2" ht="15.75" customHeight="1" x14ac:dyDescent="0.3">
      <c r="B124" s="35"/>
    </row>
    <row r="125" spans="2:2" ht="15.75" customHeight="1" x14ac:dyDescent="0.3">
      <c r="B125" s="35"/>
    </row>
    <row r="126" spans="2:2" ht="15.75" customHeight="1" x14ac:dyDescent="0.3">
      <c r="B126" s="35"/>
    </row>
    <row r="127" spans="2:2" ht="15.75" customHeight="1" x14ac:dyDescent="0.3">
      <c r="B127" s="35"/>
    </row>
    <row r="128" spans="2:2" ht="15.75" customHeight="1" x14ac:dyDescent="0.3">
      <c r="B128" s="35"/>
    </row>
    <row r="129" spans="2:2" ht="15.75" customHeight="1" x14ac:dyDescent="0.3">
      <c r="B129" s="35"/>
    </row>
    <row r="130" spans="2:2" ht="15.75" customHeight="1" x14ac:dyDescent="0.3">
      <c r="B130" s="35"/>
    </row>
    <row r="131" spans="2:2" ht="15.75" customHeight="1" x14ac:dyDescent="0.3">
      <c r="B131" s="35"/>
    </row>
    <row r="132" spans="2:2" ht="15.75" customHeight="1" x14ac:dyDescent="0.3">
      <c r="B132" s="35"/>
    </row>
    <row r="133" spans="2:2" ht="15.75" customHeight="1" x14ac:dyDescent="0.3">
      <c r="B133" s="35"/>
    </row>
    <row r="134" spans="2:2" ht="15.75" customHeight="1" x14ac:dyDescent="0.3">
      <c r="B134" s="35"/>
    </row>
    <row r="135" spans="2:2" ht="15.75" customHeight="1" x14ac:dyDescent="0.3">
      <c r="B135" s="35"/>
    </row>
    <row r="136" spans="2:2" ht="15.75" customHeight="1" x14ac:dyDescent="0.3">
      <c r="B136" s="35"/>
    </row>
    <row r="137" spans="2:2" ht="15.75" customHeight="1" x14ac:dyDescent="0.3">
      <c r="B137" s="35"/>
    </row>
    <row r="138" spans="2:2" ht="15.75" customHeight="1" x14ac:dyDescent="0.3">
      <c r="B138" s="35"/>
    </row>
    <row r="139" spans="2:2" ht="15.75" customHeight="1" x14ac:dyDescent="0.3">
      <c r="B139" s="35"/>
    </row>
    <row r="140" spans="2:2" ht="15.75" customHeight="1" x14ac:dyDescent="0.3">
      <c r="B140" s="35"/>
    </row>
    <row r="141" spans="2:2" ht="15.75" customHeight="1" x14ac:dyDescent="0.3">
      <c r="B141" s="35"/>
    </row>
    <row r="142" spans="2:2" ht="15.75" customHeight="1" x14ac:dyDescent="0.3">
      <c r="B142" s="35"/>
    </row>
    <row r="143" spans="2:2" ht="15.75" customHeight="1" x14ac:dyDescent="0.3">
      <c r="B143" s="35"/>
    </row>
    <row r="144" spans="2:2" ht="15.75" customHeight="1" x14ac:dyDescent="0.3">
      <c r="B144" s="35"/>
    </row>
    <row r="145" spans="2:2" ht="15.75" customHeight="1" x14ac:dyDescent="0.3">
      <c r="B145" s="35"/>
    </row>
    <row r="146" spans="2:2" ht="15.75" customHeight="1" x14ac:dyDescent="0.3">
      <c r="B146" s="35"/>
    </row>
    <row r="147" spans="2:2" ht="15.75" customHeight="1" x14ac:dyDescent="0.3">
      <c r="B147" s="35"/>
    </row>
    <row r="148" spans="2:2" ht="15.75" customHeight="1" x14ac:dyDescent="0.3">
      <c r="B148" s="35"/>
    </row>
    <row r="149" spans="2:2" ht="15.75" customHeight="1" x14ac:dyDescent="0.3">
      <c r="B149" s="35"/>
    </row>
    <row r="150" spans="2:2" ht="15.75" customHeight="1" x14ac:dyDescent="0.3">
      <c r="B150" s="35"/>
    </row>
    <row r="151" spans="2:2" ht="15.75" customHeight="1" x14ac:dyDescent="0.3">
      <c r="B151" s="35"/>
    </row>
    <row r="152" spans="2:2" ht="15.75" customHeight="1" x14ac:dyDescent="0.3">
      <c r="B152" s="35"/>
    </row>
    <row r="153" spans="2:2" ht="15.75" customHeight="1" x14ac:dyDescent="0.3">
      <c r="B153" s="35"/>
    </row>
    <row r="154" spans="2:2" ht="15.75" customHeight="1" x14ac:dyDescent="0.3">
      <c r="B154" s="35"/>
    </row>
    <row r="155" spans="2:2" ht="15.75" customHeight="1" x14ac:dyDescent="0.3">
      <c r="B155" s="35"/>
    </row>
    <row r="156" spans="2:2" ht="15.75" customHeight="1" x14ac:dyDescent="0.3">
      <c r="B156" s="35"/>
    </row>
    <row r="157" spans="2:2" ht="15.75" customHeight="1" x14ac:dyDescent="0.3">
      <c r="B157" s="35"/>
    </row>
    <row r="158" spans="2:2" ht="15.75" customHeight="1" x14ac:dyDescent="0.3">
      <c r="B158" s="35"/>
    </row>
    <row r="159" spans="2:2" ht="15.75" customHeight="1" x14ac:dyDescent="0.3">
      <c r="B159" s="35"/>
    </row>
    <row r="160" spans="2:2" ht="15.75" customHeight="1" x14ac:dyDescent="0.3">
      <c r="B160" s="35"/>
    </row>
    <row r="161" spans="2:2" ht="15.75" customHeight="1" x14ac:dyDescent="0.3">
      <c r="B161" s="35"/>
    </row>
    <row r="162" spans="2:2" ht="15.75" customHeight="1" x14ac:dyDescent="0.3">
      <c r="B162" s="35"/>
    </row>
    <row r="163" spans="2:2" ht="15.75" customHeight="1" x14ac:dyDescent="0.3">
      <c r="B163" s="35"/>
    </row>
    <row r="164" spans="2:2" ht="15.75" customHeight="1" x14ac:dyDescent="0.3">
      <c r="B164" s="35"/>
    </row>
    <row r="165" spans="2:2" ht="15.75" customHeight="1" x14ac:dyDescent="0.3">
      <c r="B165" s="35"/>
    </row>
    <row r="166" spans="2:2" ht="15.75" customHeight="1" x14ac:dyDescent="0.3">
      <c r="B166" s="35"/>
    </row>
    <row r="167" spans="2:2" ht="15.75" customHeight="1" x14ac:dyDescent="0.3">
      <c r="B167" s="35"/>
    </row>
    <row r="168" spans="2:2" ht="15.75" customHeight="1" x14ac:dyDescent="0.3">
      <c r="B168" s="35"/>
    </row>
    <row r="169" spans="2:2" ht="15.75" customHeight="1" x14ac:dyDescent="0.3">
      <c r="B169" s="35"/>
    </row>
    <row r="170" spans="2:2" ht="15.75" customHeight="1" x14ac:dyDescent="0.3">
      <c r="B170" s="35"/>
    </row>
    <row r="171" spans="2:2" ht="15.75" customHeight="1" x14ac:dyDescent="0.3">
      <c r="B171" s="35"/>
    </row>
    <row r="172" spans="2:2" ht="15.75" customHeight="1" x14ac:dyDescent="0.3">
      <c r="B172" s="35"/>
    </row>
    <row r="173" spans="2:2" ht="15.75" customHeight="1" x14ac:dyDescent="0.3">
      <c r="B173" s="35"/>
    </row>
    <row r="174" spans="2:2" ht="15.75" customHeight="1" x14ac:dyDescent="0.3">
      <c r="B174" s="35"/>
    </row>
    <row r="175" spans="2:2" ht="15.75" customHeight="1" x14ac:dyDescent="0.3">
      <c r="B175" s="35"/>
    </row>
    <row r="176" spans="2:2" ht="15.75" customHeight="1" x14ac:dyDescent="0.3">
      <c r="B176" s="35"/>
    </row>
    <row r="177" spans="2:2" ht="15.75" customHeight="1" x14ac:dyDescent="0.3">
      <c r="B177" s="35"/>
    </row>
    <row r="178" spans="2:2" ht="15.75" customHeight="1" x14ac:dyDescent="0.3">
      <c r="B178" s="35"/>
    </row>
    <row r="179" spans="2:2" ht="15.75" customHeight="1" x14ac:dyDescent="0.3">
      <c r="B179" s="35"/>
    </row>
    <row r="180" spans="2:2" ht="15.75" customHeight="1" x14ac:dyDescent="0.3">
      <c r="B180" s="35"/>
    </row>
    <row r="181" spans="2:2" ht="15.75" customHeight="1" x14ac:dyDescent="0.3">
      <c r="B181" s="35"/>
    </row>
    <row r="182" spans="2:2" ht="15.75" customHeight="1" x14ac:dyDescent="0.3">
      <c r="B182" s="35"/>
    </row>
    <row r="183" spans="2:2" ht="15.75" customHeight="1" x14ac:dyDescent="0.3">
      <c r="B183" s="35"/>
    </row>
    <row r="184" spans="2:2" ht="15.75" customHeight="1" x14ac:dyDescent="0.3">
      <c r="B184" s="35"/>
    </row>
    <row r="185" spans="2:2" ht="15.75" customHeight="1" x14ac:dyDescent="0.3">
      <c r="B185" s="35"/>
    </row>
    <row r="186" spans="2:2" ht="15.75" customHeight="1" x14ac:dyDescent="0.3">
      <c r="B186" s="35"/>
    </row>
    <row r="187" spans="2:2" ht="15.75" customHeight="1" x14ac:dyDescent="0.3">
      <c r="B187" s="35"/>
    </row>
    <row r="188" spans="2:2" ht="15.75" customHeight="1" x14ac:dyDescent="0.3">
      <c r="B188" s="35"/>
    </row>
    <row r="189" spans="2:2" ht="15.75" customHeight="1" x14ac:dyDescent="0.3">
      <c r="B189" s="35"/>
    </row>
    <row r="190" spans="2:2" ht="15.75" customHeight="1" x14ac:dyDescent="0.3">
      <c r="B190" s="35"/>
    </row>
    <row r="191" spans="2:2" ht="15.75" customHeight="1" x14ac:dyDescent="0.3">
      <c r="B191" s="35"/>
    </row>
    <row r="192" spans="2:2" ht="15.75" customHeight="1" x14ac:dyDescent="0.3">
      <c r="B192" s="35"/>
    </row>
    <row r="193" spans="2:2" ht="15.75" customHeight="1" x14ac:dyDescent="0.3">
      <c r="B193" s="35"/>
    </row>
    <row r="194" spans="2:2" ht="15.75" customHeight="1" x14ac:dyDescent="0.3">
      <c r="B194" s="35"/>
    </row>
    <row r="195" spans="2:2" ht="15.75" customHeight="1" x14ac:dyDescent="0.3">
      <c r="B195" s="35"/>
    </row>
    <row r="196" spans="2:2" ht="15.75" customHeight="1" x14ac:dyDescent="0.3">
      <c r="B196" s="35"/>
    </row>
    <row r="197" spans="2:2" ht="15.75" customHeight="1" x14ac:dyDescent="0.3">
      <c r="B197" s="35"/>
    </row>
    <row r="198" spans="2:2" ht="15.75" customHeight="1" x14ac:dyDescent="0.3">
      <c r="B198" s="35"/>
    </row>
    <row r="199" spans="2:2" ht="15.75" customHeight="1" x14ac:dyDescent="0.3">
      <c r="B199" s="35"/>
    </row>
    <row r="200" spans="2:2" ht="15.75" customHeight="1" x14ac:dyDescent="0.3">
      <c r="B200" s="35"/>
    </row>
    <row r="201" spans="2:2" ht="15.75" customHeight="1" x14ac:dyDescent="0.3">
      <c r="B201" s="35"/>
    </row>
    <row r="202" spans="2:2" ht="15.75" customHeight="1" x14ac:dyDescent="0.3">
      <c r="B202" s="35"/>
    </row>
    <row r="203" spans="2:2" ht="15.75" customHeight="1" x14ac:dyDescent="0.3">
      <c r="B203" s="35"/>
    </row>
    <row r="204" spans="2:2" ht="15.75" customHeight="1" x14ac:dyDescent="0.3">
      <c r="B204" s="35"/>
    </row>
    <row r="205" spans="2:2" ht="15.75" customHeight="1" x14ac:dyDescent="0.3">
      <c r="B205" s="35"/>
    </row>
    <row r="206" spans="2:2" ht="15.75" customHeight="1" x14ac:dyDescent="0.3">
      <c r="B206" s="35"/>
    </row>
    <row r="207" spans="2:2" ht="15.75" customHeight="1" x14ac:dyDescent="0.3">
      <c r="B207" s="35"/>
    </row>
    <row r="208" spans="2:2" ht="15.75" customHeight="1" x14ac:dyDescent="0.3">
      <c r="B208" s="35"/>
    </row>
    <row r="209" spans="2:2" ht="15.75" customHeight="1" x14ac:dyDescent="0.3">
      <c r="B209" s="35"/>
    </row>
    <row r="210" spans="2:2" ht="15.75" customHeight="1" x14ac:dyDescent="0.3">
      <c r="B210" s="35"/>
    </row>
    <row r="211" spans="2:2" ht="15.75" customHeight="1" x14ac:dyDescent="0.3">
      <c r="B211" s="35"/>
    </row>
    <row r="212" spans="2:2" ht="15.75" customHeight="1" x14ac:dyDescent="0.3">
      <c r="B212" s="35"/>
    </row>
    <row r="213" spans="2:2" ht="15.75" customHeight="1" x14ac:dyDescent="0.3">
      <c r="B213" s="35"/>
    </row>
    <row r="214" spans="2:2" ht="15.75" customHeight="1" x14ac:dyDescent="0.3">
      <c r="B214" s="35"/>
    </row>
    <row r="215" spans="2:2" ht="15.75" customHeight="1" x14ac:dyDescent="0.3">
      <c r="B215" s="35"/>
    </row>
    <row r="216" spans="2:2" ht="15.75" customHeight="1" x14ac:dyDescent="0.3">
      <c r="B216" s="35"/>
    </row>
    <row r="217" spans="2:2" ht="15.75" customHeight="1" x14ac:dyDescent="0.3">
      <c r="B217" s="35"/>
    </row>
    <row r="218" spans="2:2" ht="15.75" customHeight="1" x14ac:dyDescent="0.3">
      <c r="B218" s="35"/>
    </row>
    <row r="219" spans="2:2" ht="15.75" customHeight="1" x14ac:dyDescent="0.3">
      <c r="B219" s="35"/>
    </row>
    <row r="220" spans="2:2" ht="15.75" customHeight="1" x14ac:dyDescent="0.3">
      <c r="B220" s="35"/>
    </row>
    <row r="221" spans="2:2" ht="15.75" customHeight="1" x14ac:dyDescent="0.3">
      <c r="B221" s="35"/>
    </row>
    <row r="222" spans="2:2" ht="15.75" customHeight="1" x14ac:dyDescent="0.3">
      <c r="B222" s="35"/>
    </row>
    <row r="223" spans="2:2" ht="15.75" customHeight="1" x14ac:dyDescent="0.3">
      <c r="B223" s="35"/>
    </row>
    <row r="224" spans="2:2" ht="15.75" customHeight="1" x14ac:dyDescent="0.3">
      <c r="B224" s="35"/>
    </row>
    <row r="225" spans="2:2" ht="15.75" customHeight="1" x14ac:dyDescent="0.3">
      <c r="B225" s="35"/>
    </row>
    <row r="226" spans="2:2" ht="15.75" customHeight="1" x14ac:dyDescent="0.3">
      <c r="B226" s="35"/>
    </row>
    <row r="227" spans="2:2" ht="15.75" customHeight="1" x14ac:dyDescent="0.3">
      <c r="B227" s="35"/>
    </row>
    <row r="228" spans="2:2" ht="15.75" customHeight="1" x14ac:dyDescent="0.3">
      <c r="B228" s="35"/>
    </row>
    <row r="229" spans="2:2" ht="15.75" customHeight="1" x14ac:dyDescent="0.3">
      <c r="B229" s="35"/>
    </row>
    <row r="230" spans="2:2" ht="15.75" customHeight="1" x14ac:dyDescent="0.3">
      <c r="B230" s="35"/>
    </row>
    <row r="231" spans="2:2" ht="15.75" customHeight="1" x14ac:dyDescent="0.3">
      <c r="B231" s="35"/>
    </row>
    <row r="232" spans="2:2" ht="15.75" customHeight="1" x14ac:dyDescent="0.3">
      <c r="B232" s="35"/>
    </row>
    <row r="233" spans="2:2" ht="15.75" customHeight="1" x14ac:dyDescent="0.3">
      <c r="B233" s="35"/>
    </row>
    <row r="234" spans="2:2" ht="15.75" customHeight="1" x14ac:dyDescent="0.3">
      <c r="B234" s="35"/>
    </row>
    <row r="235" spans="2:2" ht="15.75" customHeight="1" x14ac:dyDescent="0.3">
      <c r="B235" s="35"/>
    </row>
    <row r="236" spans="2:2" ht="15.75" customHeight="1" x14ac:dyDescent="0.3">
      <c r="B236" s="35"/>
    </row>
    <row r="237" spans="2:2" ht="15.75" customHeight="1" x14ac:dyDescent="0.3">
      <c r="B237" s="35"/>
    </row>
    <row r="238" spans="2:2" ht="15.75" customHeight="1" x14ac:dyDescent="0.3">
      <c r="B238" s="35"/>
    </row>
    <row r="239" spans="2:2" ht="15.75" customHeight="1" x14ac:dyDescent="0.3">
      <c r="B239" s="35"/>
    </row>
    <row r="240" spans="2:2" ht="15.75" customHeight="1" x14ac:dyDescent="0.3">
      <c r="B240" s="35"/>
    </row>
    <row r="241" spans="2:2" ht="15.75" customHeight="1" x14ac:dyDescent="0.3">
      <c r="B241" s="35"/>
    </row>
    <row r="242" spans="2:2" ht="15.75" customHeight="1" x14ac:dyDescent="0.3">
      <c r="B242" s="35"/>
    </row>
    <row r="243" spans="2:2" ht="15.75" customHeight="1" x14ac:dyDescent="0.3">
      <c r="B243" s="35"/>
    </row>
    <row r="244" spans="2:2" ht="15.75" customHeight="1" x14ac:dyDescent="0.3">
      <c r="B244" s="35"/>
    </row>
    <row r="245" spans="2:2" ht="15.75" customHeight="1" x14ac:dyDescent="0.3">
      <c r="B245" s="35"/>
    </row>
    <row r="246" spans="2:2" ht="15.75" customHeight="1" x14ac:dyDescent="0.3">
      <c r="B246" s="35"/>
    </row>
    <row r="247" spans="2:2" ht="15.75" customHeight="1" x14ac:dyDescent="0.3">
      <c r="B247" s="35"/>
    </row>
    <row r="248" spans="2:2" ht="15.75" customHeight="1" x14ac:dyDescent="0.3">
      <c r="B248" s="35"/>
    </row>
    <row r="249" spans="2:2" ht="15.75" customHeight="1" x14ac:dyDescent="0.3">
      <c r="B249" s="35"/>
    </row>
    <row r="250" spans="2:2" ht="15.75" customHeight="1" x14ac:dyDescent="0.3">
      <c r="B250" s="35"/>
    </row>
    <row r="251" spans="2:2" ht="15.75" customHeight="1" x14ac:dyDescent="0.3">
      <c r="B251" s="35"/>
    </row>
    <row r="252" spans="2:2" ht="15.75" customHeight="1" x14ac:dyDescent="0.3">
      <c r="B252" s="35"/>
    </row>
    <row r="253" spans="2:2" ht="15.75" customHeight="1" x14ac:dyDescent="0.3">
      <c r="B253" s="35"/>
    </row>
    <row r="254" spans="2:2" ht="15.75" customHeight="1" x14ac:dyDescent="0.3">
      <c r="B254" s="35"/>
    </row>
    <row r="255" spans="2:2" ht="15.75" customHeight="1" x14ac:dyDescent="0.3">
      <c r="B255" s="35"/>
    </row>
    <row r="256" spans="2:2" ht="15.75" customHeight="1" x14ac:dyDescent="0.3">
      <c r="B256" s="35"/>
    </row>
    <row r="257" spans="2:2" ht="15.75" customHeight="1" x14ac:dyDescent="0.3">
      <c r="B257" s="35"/>
    </row>
    <row r="258" spans="2:2" ht="15.75" customHeight="1" x14ac:dyDescent="0.3">
      <c r="B258" s="35"/>
    </row>
    <row r="259" spans="2:2" ht="15.75" customHeight="1" x14ac:dyDescent="0.3">
      <c r="B259" s="35"/>
    </row>
    <row r="260" spans="2:2" ht="15.75" customHeight="1" x14ac:dyDescent="0.3">
      <c r="B260" s="35"/>
    </row>
    <row r="261" spans="2:2" ht="15.75" customHeight="1" x14ac:dyDescent="0.3">
      <c r="B261" s="35"/>
    </row>
    <row r="262" spans="2:2" ht="15.75" customHeight="1" x14ac:dyDescent="0.3">
      <c r="B262" s="35"/>
    </row>
    <row r="263" spans="2:2" ht="15.75" customHeight="1" x14ac:dyDescent="0.3">
      <c r="B263" s="35"/>
    </row>
    <row r="264" spans="2:2" ht="15.75" customHeight="1" x14ac:dyDescent="0.3">
      <c r="B264" s="35"/>
    </row>
    <row r="265" spans="2:2" ht="15.75" customHeight="1" x14ac:dyDescent="0.3">
      <c r="B265" s="35"/>
    </row>
    <row r="266" spans="2:2" ht="15.75" customHeight="1" x14ac:dyDescent="0.3">
      <c r="B266" s="35"/>
    </row>
    <row r="267" spans="2:2" ht="15.75" customHeight="1" x14ac:dyDescent="0.3">
      <c r="B267" s="35"/>
    </row>
    <row r="268" spans="2:2" ht="15.75" customHeight="1" x14ac:dyDescent="0.3">
      <c r="B268" s="35"/>
    </row>
    <row r="269" spans="2:2" ht="15.75" customHeight="1" x14ac:dyDescent="0.3">
      <c r="B269" s="35"/>
    </row>
    <row r="270" spans="2:2" ht="15.75" customHeight="1" x14ac:dyDescent="0.3">
      <c r="B270" s="35"/>
    </row>
    <row r="271" spans="2:2" ht="15.75" customHeight="1" x14ac:dyDescent="0.3">
      <c r="B271" s="35"/>
    </row>
    <row r="272" spans="2:2" ht="15.75" customHeight="1" x14ac:dyDescent="0.3">
      <c r="B272" s="35"/>
    </row>
    <row r="273" spans="2:2" ht="15.75" customHeight="1" x14ac:dyDescent="0.3">
      <c r="B273" s="35"/>
    </row>
    <row r="274" spans="2:2" ht="15.75" customHeight="1" x14ac:dyDescent="0.3">
      <c r="B274" s="35"/>
    </row>
    <row r="275" spans="2:2" ht="15.75" customHeight="1" x14ac:dyDescent="0.3">
      <c r="B275" s="35"/>
    </row>
    <row r="276" spans="2:2" ht="15.75" customHeight="1" x14ac:dyDescent="0.3">
      <c r="B276" s="35"/>
    </row>
    <row r="277" spans="2:2" ht="15.75" customHeight="1" x14ac:dyDescent="0.3">
      <c r="B277" s="35"/>
    </row>
    <row r="278" spans="2:2" ht="15.75" customHeight="1" x14ac:dyDescent="0.3">
      <c r="B278" s="35"/>
    </row>
    <row r="279" spans="2:2" ht="15.75" customHeight="1" x14ac:dyDescent="0.3">
      <c r="B279" s="35"/>
    </row>
    <row r="280" spans="2:2" ht="15.75" customHeight="1" x14ac:dyDescent="0.3">
      <c r="B280" s="35"/>
    </row>
    <row r="281" spans="2:2" ht="15.75" customHeight="1" x14ac:dyDescent="0.3">
      <c r="B281" s="35"/>
    </row>
    <row r="282" spans="2:2" ht="15.75" customHeight="1" x14ac:dyDescent="0.3">
      <c r="B282" s="35"/>
    </row>
    <row r="283" spans="2:2" ht="15.75" customHeight="1" x14ac:dyDescent="0.3">
      <c r="B283" s="35"/>
    </row>
    <row r="284" spans="2:2" ht="15.75" customHeight="1" x14ac:dyDescent="0.3">
      <c r="B284" s="35"/>
    </row>
    <row r="285" spans="2:2" ht="15.75" customHeight="1" x14ac:dyDescent="0.3">
      <c r="B285" s="35"/>
    </row>
    <row r="286" spans="2:2" ht="15.75" customHeight="1" x14ac:dyDescent="0.3">
      <c r="B286" s="35"/>
    </row>
    <row r="287" spans="2:2" ht="15.75" customHeight="1" x14ac:dyDescent="0.3">
      <c r="B287" s="35"/>
    </row>
    <row r="288" spans="2:2" ht="15.75" customHeight="1" x14ac:dyDescent="0.3">
      <c r="B288" s="35"/>
    </row>
    <row r="289" spans="2:2" ht="15.75" customHeight="1" x14ac:dyDescent="0.3">
      <c r="B289" s="35"/>
    </row>
    <row r="290" spans="2:2" ht="15.75" customHeight="1" x14ac:dyDescent="0.3">
      <c r="B290" s="35"/>
    </row>
    <row r="291" spans="2:2" ht="15.75" customHeight="1" x14ac:dyDescent="0.3">
      <c r="B291" s="35"/>
    </row>
    <row r="292" spans="2:2" ht="15.75" customHeight="1" x14ac:dyDescent="0.3">
      <c r="B292" s="35"/>
    </row>
    <row r="293" spans="2:2" ht="15.75" customHeight="1" x14ac:dyDescent="0.3">
      <c r="B293" s="35"/>
    </row>
    <row r="294" spans="2:2" ht="15.75" customHeight="1" x14ac:dyDescent="0.3">
      <c r="B294" s="35"/>
    </row>
    <row r="295" spans="2:2" ht="15.75" customHeight="1" x14ac:dyDescent="0.3">
      <c r="B295" s="35"/>
    </row>
    <row r="296" spans="2:2" ht="15.75" customHeight="1" x14ac:dyDescent="0.3">
      <c r="B296" s="35"/>
    </row>
    <row r="297" spans="2:2" ht="15.75" customHeight="1" x14ac:dyDescent="0.3">
      <c r="B297" s="35"/>
    </row>
    <row r="298" spans="2:2" ht="15.75" customHeight="1" x14ac:dyDescent="0.3">
      <c r="B298" s="35"/>
    </row>
    <row r="299" spans="2:2" ht="15.75" customHeight="1" x14ac:dyDescent="0.3">
      <c r="B299" s="35"/>
    </row>
    <row r="300" spans="2:2" ht="15.75" customHeight="1" x14ac:dyDescent="0.3">
      <c r="B300" s="35"/>
    </row>
    <row r="301" spans="2:2" ht="15.75" customHeight="1" x14ac:dyDescent="0.3">
      <c r="B301" s="35"/>
    </row>
    <row r="302" spans="2:2" ht="15.75" customHeight="1" x14ac:dyDescent="0.3">
      <c r="B302" s="35"/>
    </row>
    <row r="303" spans="2:2" ht="15.75" customHeight="1" x14ac:dyDescent="0.3">
      <c r="B303" s="35"/>
    </row>
    <row r="304" spans="2:2" ht="15.75" customHeight="1" x14ac:dyDescent="0.3">
      <c r="B304" s="35"/>
    </row>
    <row r="305" spans="2:2" ht="15.75" customHeight="1" x14ac:dyDescent="0.3">
      <c r="B305" s="35"/>
    </row>
    <row r="306" spans="2:2" ht="15.75" customHeight="1" x14ac:dyDescent="0.3">
      <c r="B306" s="35"/>
    </row>
    <row r="307" spans="2:2" ht="15.75" customHeight="1" x14ac:dyDescent="0.3">
      <c r="B307" s="35"/>
    </row>
    <row r="308" spans="2:2" ht="15.75" customHeight="1" x14ac:dyDescent="0.3">
      <c r="B308" s="35"/>
    </row>
    <row r="309" spans="2:2" ht="15.75" customHeight="1" x14ac:dyDescent="0.3">
      <c r="B309" s="35"/>
    </row>
    <row r="310" spans="2:2" ht="15.75" customHeight="1" x14ac:dyDescent="0.3">
      <c r="B310" s="35"/>
    </row>
    <row r="311" spans="2:2" ht="15.75" customHeight="1" x14ac:dyDescent="0.3">
      <c r="B311" s="35"/>
    </row>
    <row r="312" spans="2:2" ht="15.75" customHeight="1" x14ac:dyDescent="0.3">
      <c r="B312" s="35"/>
    </row>
    <row r="313" spans="2:2" ht="15.75" customHeight="1" x14ac:dyDescent="0.3">
      <c r="B313" s="35"/>
    </row>
    <row r="314" spans="2:2" ht="15.75" customHeight="1" x14ac:dyDescent="0.3">
      <c r="B314" s="35"/>
    </row>
    <row r="315" spans="2:2" ht="15.75" customHeight="1" x14ac:dyDescent="0.3">
      <c r="B315" s="35"/>
    </row>
    <row r="316" spans="2:2" ht="15.75" customHeight="1" x14ac:dyDescent="0.3">
      <c r="B316" s="35"/>
    </row>
    <row r="317" spans="2:2" ht="15.75" customHeight="1" x14ac:dyDescent="0.3">
      <c r="B317" s="35"/>
    </row>
    <row r="318" spans="2:2" ht="15.75" customHeight="1" x14ac:dyDescent="0.3">
      <c r="B318" s="35"/>
    </row>
    <row r="319" spans="2:2" ht="15.75" customHeight="1" x14ac:dyDescent="0.3">
      <c r="B319" s="35"/>
    </row>
    <row r="320" spans="2:2" ht="15.75" customHeight="1" x14ac:dyDescent="0.3">
      <c r="B320" s="35"/>
    </row>
    <row r="321" spans="2:2" ht="15.75" customHeight="1" x14ac:dyDescent="0.3">
      <c r="B321" s="35"/>
    </row>
    <row r="322" spans="2:2" ht="15.75" customHeight="1" x14ac:dyDescent="0.3">
      <c r="B322" s="35"/>
    </row>
    <row r="323" spans="2:2" ht="15.75" customHeight="1" x14ac:dyDescent="0.3">
      <c r="B323" s="35"/>
    </row>
    <row r="324" spans="2:2" ht="15.75" customHeight="1" x14ac:dyDescent="0.3">
      <c r="B324" s="35"/>
    </row>
    <row r="325" spans="2:2" ht="15.75" customHeight="1" x14ac:dyDescent="0.3">
      <c r="B325" s="35"/>
    </row>
    <row r="326" spans="2:2" ht="15.75" customHeight="1" x14ac:dyDescent="0.3">
      <c r="B326" s="35"/>
    </row>
    <row r="327" spans="2:2" ht="15.75" customHeight="1" x14ac:dyDescent="0.3">
      <c r="B327" s="35"/>
    </row>
    <row r="328" spans="2:2" ht="15.75" customHeight="1" x14ac:dyDescent="0.3">
      <c r="B328" s="35"/>
    </row>
    <row r="329" spans="2:2" ht="15.75" customHeight="1" x14ac:dyDescent="0.3">
      <c r="B329" s="35"/>
    </row>
    <row r="330" spans="2:2" ht="15.75" customHeight="1" x14ac:dyDescent="0.3">
      <c r="B330" s="35"/>
    </row>
    <row r="331" spans="2:2" ht="15.75" customHeight="1" x14ac:dyDescent="0.3">
      <c r="B331" s="35"/>
    </row>
    <row r="332" spans="2:2" ht="15.75" customHeight="1" x14ac:dyDescent="0.3">
      <c r="B332" s="35"/>
    </row>
    <row r="333" spans="2:2" ht="15.75" customHeight="1" x14ac:dyDescent="0.3">
      <c r="B333" s="35"/>
    </row>
    <row r="334" spans="2:2" ht="15.75" customHeight="1" x14ac:dyDescent="0.3">
      <c r="B334" s="35"/>
    </row>
    <row r="335" spans="2:2" ht="15.75" customHeight="1" x14ac:dyDescent="0.3">
      <c r="B335" s="35"/>
    </row>
    <row r="336" spans="2:2" ht="15.75" customHeight="1" x14ac:dyDescent="0.3">
      <c r="B336" s="35"/>
    </row>
    <row r="337" spans="2:2" ht="15.75" customHeight="1" x14ac:dyDescent="0.3">
      <c r="B337" s="35"/>
    </row>
    <row r="338" spans="2:2" ht="15.75" customHeight="1" x14ac:dyDescent="0.3">
      <c r="B338" s="35"/>
    </row>
    <row r="339" spans="2:2" ht="15.75" customHeight="1" x14ac:dyDescent="0.3">
      <c r="B339" s="35"/>
    </row>
    <row r="340" spans="2:2" ht="15.75" customHeight="1" x14ac:dyDescent="0.3">
      <c r="B340" s="35"/>
    </row>
    <row r="341" spans="2:2" ht="15.75" customHeight="1" x14ac:dyDescent="0.3">
      <c r="B341" s="35"/>
    </row>
    <row r="342" spans="2:2" ht="15.75" customHeight="1" x14ac:dyDescent="0.3">
      <c r="B342" s="35"/>
    </row>
    <row r="343" spans="2:2" ht="15.75" customHeight="1" x14ac:dyDescent="0.3">
      <c r="B343" s="35"/>
    </row>
    <row r="344" spans="2:2" ht="15.75" customHeight="1" x14ac:dyDescent="0.3">
      <c r="B344" s="35"/>
    </row>
    <row r="345" spans="2:2" ht="15.75" customHeight="1" x14ac:dyDescent="0.3">
      <c r="B345" s="35"/>
    </row>
    <row r="346" spans="2:2" ht="15.75" customHeight="1" x14ac:dyDescent="0.3">
      <c r="B346" s="35"/>
    </row>
    <row r="347" spans="2:2" ht="15.75" customHeight="1" x14ac:dyDescent="0.3">
      <c r="B347" s="35"/>
    </row>
    <row r="348" spans="2:2" ht="15.75" customHeight="1" x14ac:dyDescent="0.3">
      <c r="B348" s="35"/>
    </row>
    <row r="349" spans="2:2" ht="15.75" customHeight="1" x14ac:dyDescent="0.3">
      <c r="B349" s="35"/>
    </row>
    <row r="350" spans="2:2" ht="15.75" customHeight="1" x14ac:dyDescent="0.3">
      <c r="B350" s="35"/>
    </row>
    <row r="351" spans="2:2" ht="15.75" customHeight="1" x14ac:dyDescent="0.3">
      <c r="B351" s="35"/>
    </row>
    <row r="352" spans="2:2" ht="15.75" customHeight="1" x14ac:dyDescent="0.3">
      <c r="B352" s="35"/>
    </row>
    <row r="353" spans="2:2" ht="15.75" customHeight="1" x14ac:dyDescent="0.3">
      <c r="B353" s="35"/>
    </row>
    <row r="354" spans="2:2" ht="15.75" customHeight="1" x14ac:dyDescent="0.3">
      <c r="B354" s="35"/>
    </row>
    <row r="355" spans="2:2" ht="15.75" customHeight="1" x14ac:dyDescent="0.3">
      <c r="B355" s="35"/>
    </row>
    <row r="356" spans="2:2" ht="15.75" customHeight="1" x14ac:dyDescent="0.3">
      <c r="B356" s="35"/>
    </row>
    <row r="357" spans="2:2" ht="15.75" customHeight="1" x14ac:dyDescent="0.3">
      <c r="B357" s="35"/>
    </row>
    <row r="358" spans="2:2" ht="15.75" customHeight="1" x14ac:dyDescent="0.3">
      <c r="B358" s="35"/>
    </row>
    <row r="359" spans="2:2" ht="15.75" customHeight="1" x14ac:dyDescent="0.3">
      <c r="B359" s="35"/>
    </row>
    <row r="360" spans="2:2" ht="15.75" customHeight="1" x14ac:dyDescent="0.3">
      <c r="B360" s="35"/>
    </row>
    <row r="361" spans="2:2" ht="15.75" customHeight="1" x14ac:dyDescent="0.3">
      <c r="B361" s="35"/>
    </row>
    <row r="362" spans="2:2" ht="15.75" customHeight="1" x14ac:dyDescent="0.3">
      <c r="B362" s="35"/>
    </row>
    <row r="363" spans="2:2" ht="15.75" customHeight="1" x14ac:dyDescent="0.3">
      <c r="B363" s="35"/>
    </row>
    <row r="364" spans="2:2" ht="15.75" customHeight="1" x14ac:dyDescent="0.3">
      <c r="B364" s="35"/>
    </row>
    <row r="365" spans="2:2" ht="15.75" customHeight="1" x14ac:dyDescent="0.3">
      <c r="B365" s="35"/>
    </row>
    <row r="366" spans="2:2" ht="15.75" customHeight="1" x14ac:dyDescent="0.3">
      <c r="B366" s="35"/>
    </row>
    <row r="367" spans="2:2" ht="15.75" customHeight="1" x14ac:dyDescent="0.3">
      <c r="B367" s="35"/>
    </row>
    <row r="368" spans="2:2" ht="15.75" customHeight="1" x14ac:dyDescent="0.3">
      <c r="B368" s="35"/>
    </row>
    <row r="369" spans="2:2" ht="15.75" customHeight="1" x14ac:dyDescent="0.3">
      <c r="B369" s="35"/>
    </row>
    <row r="370" spans="2:2" ht="15.75" customHeight="1" x14ac:dyDescent="0.3">
      <c r="B370" s="35"/>
    </row>
    <row r="371" spans="2:2" ht="15.75" customHeight="1" x14ac:dyDescent="0.3">
      <c r="B371" s="35"/>
    </row>
    <row r="372" spans="2:2" ht="15.75" customHeight="1" x14ac:dyDescent="0.3">
      <c r="B372" s="35"/>
    </row>
    <row r="373" spans="2:2" ht="15.75" customHeight="1" x14ac:dyDescent="0.3">
      <c r="B373" s="35"/>
    </row>
    <row r="374" spans="2:2" ht="15.75" customHeight="1" x14ac:dyDescent="0.3">
      <c r="B374" s="35"/>
    </row>
    <row r="375" spans="2:2" ht="15.75" customHeight="1" x14ac:dyDescent="0.3">
      <c r="B375" s="35"/>
    </row>
    <row r="376" spans="2:2" ht="15.75" customHeight="1" x14ac:dyDescent="0.3">
      <c r="B376" s="35"/>
    </row>
    <row r="377" spans="2:2" ht="15.75" customHeight="1" x14ac:dyDescent="0.3">
      <c r="B377" s="35"/>
    </row>
    <row r="378" spans="2:2" ht="15.75" customHeight="1" x14ac:dyDescent="0.3">
      <c r="B378" s="35"/>
    </row>
    <row r="379" spans="2:2" ht="15.75" customHeight="1" x14ac:dyDescent="0.3">
      <c r="B379" s="35"/>
    </row>
    <row r="380" spans="2:2" ht="15.75" customHeight="1" x14ac:dyDescent="0.3">
      <c r="B380" s="35"/>
    </row>
    <row r="381" spans="2:2" ht="15.75" customHeight="1" x14ac:dyDescent="0.3">
      <c r="B381" s="35"/>
    </row>
    <row r="382" spans="2:2" ht="15.75" customHeight="1" x14ac:dyDescent="0.3">
      <c r="B382" s="35"/>
    </row>
    <row r="383" spans="2:2" ht="15.75" customHeight="1" x14ac:dyDescent="0.3">
      <c r="B383" s="35"/>
    </row>
    <row r="384" spans="2:2" ht="15.75" customHeight="1" x14ac:dyDescent="0.3">
      <c r="B384" s="35"/>
    </row>
    <row r="385" spans="2:2" ht="15.75" customHeight="1" x14ac:dyDescent="0.3">
      <c r="B385" s="35"/>
    </row>
    <row r="386" spans="2:2" ht="15.75" customHeight="1" x14ac:dyDescent="0.3">
      <c r="B386" s="35"/>
    </row>
    <row r="387" spans="2:2" ht="15.75" customHeight="1" x14ac:dyDescent="0.3">
      <c r="B387" s="35"/>
    </row>
    <row r="388" spans="2:2" ht="15.75" customHeight="1" x14ac:dyDescent="0.3">
      <c r="B388" s="35"/>
    </row>
    <row r="389" spans="2:2" ht="15.75" customHeight="1" x14ac:dyDescent="0.3">
      <c r="B389" s="35"/>
    </row>
    <row r="390" spans="2:2" ht="15.75" customHeight="1" x14ac:dyDescent="0.3">
      <c r="B390" s="35"/>
    </row>
    <row r="391" spans="2:2" ht="15.75" customHeight="1" x14ac:dyDescent="0.3">
      <c r="B391" s="35"/>
    </row>
    <row r="392" spans="2:2" ht="15.75" customHeight="1" x14ac:dyDescent="0.3">
      <c r="B392" s="35"/>
    </row>
    <row r="393" spans="2:2" ht="15.75" customHeight="1" x14ac:dyDescent="0.3">
      <c r="B393" s="35"/>
    </row>
    <row r="394" spans="2:2" ht="15.75" customHeight="1" x14ac:dyDescent="0.3">
      <c r="B394" s="35"/>
    </row>
    <row r="395" spans="2:2" ht="15.75" customHeight="1" x14ac:dyDescent="0.3">
      <c r="B395" s="35"/>
    </row>
    <row r="396" spans="2:2" ht="15.75" customHeight="1" x14ac:dyDescent="0.3">
      <c r="B396" s="35"/>
    </row>
    <row r="397" spans="2:2" ht="15.75" customHeight="1" x14ac:dyDescent="0.3">
      <c r="B397" s="35"/>
    </row>
    <row r="398" spans="2:2" ht="15.75" customHeight="1" x14ac:dyDescent="0.3">
      <c r="B398" s="35"/>
    </row>
    <row r="399" spans="2:2" ht="15.75" customHeight="1" x14ac:dyDescent="0.3">
      <c r="B399" s="35"/>
    </row>
    <row r="400" spans="2:2" ht="15.75" customHeight="1" x14ac:dyDescent="0.3">
      <c r="B400" s="35"/>
    </row>
    <row r="401" spans="2:2" ht="15.75" customHeight="1" x14ac:dyDescent="0.3">
      <c r="B401" s="35"/>
    </row>
    <row r="402" spans="2:2" ht="15.75" customHeight="1" x14ac:dyDescent="0.3">
      <c r="B402" s="35"/>
    </row>
    <row r="403" spans="2:2" ht="15.75" customHeight="1" x14ac:dyDescent="0.3">
      <c r="B403" s="35"/>
    </row>
    <row r="404" spans="2:2" ht="15.75" customHeight="1" x14ac:dyDescent="0.3">
      <c r="B404" s="35"/>
    </row>
    <row r="405" spans="2:2" ht="15.75" customHeight="1" x14ac:dyDescent="0.3">
      <c r="B405" s="35"/>
    </row>
    <row r="406" spans="2:2" ht="15.75" customHeight="1" x14ac:dyDescent="0.3">
      <c r="B406" s="35"/>
    </row>
    <row r="407" spans="2:2" ht="15.75" customHeight="1" x14ac:dyDescent="0.3">
      <c r="B407" s="35"/>
    </row>
    <row r="408" spans="2:2" ht="15.75" customHeight="1" x14ac:dyDescent="0.3">
      <c r="B408" s="35"/>
    </row>
    <row r="409" spans="2:2" ht="15.75" customHeight="1" x14ac:dyDescent="0.3">
      <c r="B409" s="35"/>
    </row>
    <row r="410" spans="2:2" ht="15.75" customHeight="1" x14ac:dyDescent="0.3">
      <c r="B410" s="35"/>
    </row>
    <row r="411" spans="2:2" ht="15.75" customHeight="1" x14ac:dyDescent="0.3">
      <c r="B411" s="35"/>
    </row>
    <row r="412" spans="2:2" ht="15.75" customHeight="1" x14ac:dyDescent="0.3">
      <c r="B412" s="35"/>
    </row>
    <row r="413" spans="2:2" ht="15.75" customHeight="1" x14ac:dyDescent="0.3">
      <c r="B413" s="35"/>
    </row>
    <row r="414" spans="2:2" ht="15.75" customHeight="1" x14ac:dyDescent="0.3">
      <c r="B414" s="35"/>
    </row>
    <row r="415" spans="2:2" ht="15.75" customHeight="1" x14ac:dyDescent="0.3">
      <c r="B415" s="35"/>
    </row>
    <row r="416" spans="2:2" ht="15.75" customHeight="1" x14ac:dyDescent="0.3">
      <c r="B416" s="35"/>
    </row>
    <row r="417" spans="2:2" ht="15.75" customHeight="1" x14ac:dyDescent="0.3">
      <c r="B417" s="35"/>
    </row>
    <row r="418" spans="2:2" ht="15.75" customHeight="1" x14ac:dyDescent="0.3">
      <c r="B418" s="35"/>
    </row>
    <row r="419" spans="2:2" ht="15.75" customHeight="1" x14ac:dyDescent="0.3">
      <c r="B419" s="35"/>
    </row>
    <row r="420" spans="2:2" ht="15.75" customHeight="1" x14ac:dyDescent="0.3">
      <c r="B420" s="35"/>
    </row>
    <row r="421" spans="2:2" ht="15.75" customHeight="1" x14ac:dyDescent="0.3">
      <c r="B421" s="35"/>
    </row>
    <row r="422" spans="2:2" ht="15.75" customHeight="1" x14ac:dyDescent="0.3">
      <c r="B422" s="35"/>
    </row>
    <row r="423" spans="2:2" ht="15.75" customHeight="1" x14ac:dyDescent="0.3">
      <c r="B423" s="35"/>
    </row>
    <row r="424" spans="2:2" ht="15.75" customHeight="1" x14ac:dyDescent="0.3">
      <c r="B424" s="35"/>
    </row>
    <row r="425" spans="2:2" ht="15.75" customHeight="1" x14ac:dyDescent="0.3">
      <c r="B425" s="35"/>
    </row>
    <row r="426" spans="2:2" ht="15.75" customHeight="1" x14ac:dyDescent="0.3">
      <c r="B426" s="35"/>
    </row>
    <row r="427" spans="2:2" ht="15.75" customHeight="1" x14ac:dyDescent="0.3">
      <c r="B427" s="35"/>
    </row>
    <row r="428" spans="2:2" ht="15.75" customHeight="1" x14ac:dyDescent="0.3">
      <c r="B428" s="35"/>
    </row>
    <row r="429" spans="2:2" ht="15.75" customHeight="1" x14ac:dyDescent="0.3">
      <c r="B429" s="35"/>
    </row>
    <row r="430" spans="2:2" ht="15.75" customHeight="1" x14ac:dyDescent="0.3">
      <c r="B430" s="35"/>
    </row>
    <row r="431" spans="2:2" ht="15.75" customHeight="1" x14ac:dyDescent="0.3">
      <c r="B431" s="35"/>
    </row>
    <row r="432" spans="2:2" ht="15.75" customHeight="1" x14ac:dyDescent="0.3">
      <c r="B432" s="35"/>
    </row>
    <row r="433" spans="2:2" ht="15.75" customHeight="1" x14ac:dyDescent="0.3">
      <c r="B433" s="35"/>
    </row>
    <row r="434" spans="2:2" ht="15.75" customHeight="1" x14ac:dyDescent="0.3">
      <c r="B434" s="35"/>
    </row>
    <row r="435" spans="2:2" ht="15.75" customHeight="1" x14ac:dyDescent="0.3">
      <c r="B435" s="35"/>
    </row>
    <row r="436" spans="2:2" ht="15.75" customHeight="1" x14ac:dyDescent="0.3">
      <c r="B436" s="35"/>
    </row>
    <row r="437" spans="2:2" ht="15.75" customHeight="1" x14ac:dyDescent="0.3">
      <c r="B437" s="35"/>
    </row>
    <row r="438" spans="2:2" ht="15.75" customHeight="1" x14ac:dyDescent="0.3">
      <c r="B438" s="35"/>
    </row>
    <row r="439" spans="2:2" ht="15.75" customHeight="1" x14ac:dyDescent="0.3">
      <c r="B439" s="35"/>
    </row>
    <row r="440" spans="2:2" ht="15.75" customHeight="1" x14ac:dyDescent="0.3">
      <c r="B440" s="35"/>
    </row>
    <row r="441" spans="2:2" ht="15.75" customHeight="1" x14ac:dyDescent="0.3">
      <c r="B441" s="35"/>
    </row>
    <row r="442" spans="2:2" ht="15.75" customHeight="1" x14ac:dyDescent="0.3">
      <c r="B442" s="35"/>
    </row>
    <row r="443" spans="2:2" ht="15.75" customHeight="1" x14ac:dyDescent="0.3">
      <c r="B443" s="35"/>
    </row>
    <row r="444" spans="2:2" ht="15.75" customHeight="1" x14ac:dyDescent="0.3">
      <c r="B444" s="35"/>
    </row>
    <row r="445" spans="2:2" ht="15.75" customHeight="1" x14ac:dyDescent="0.3">
      <c r="B445" s="35"/>
    </row>
    <row r="446" spans="2:2" ht="15.75" customHeight="1" x14ac:dyDescent="0.3">
      <c r="B446" s="35"/>
    </row>
    <row r="447" spans="2:2" ht="15.75" customHeight="1" x14ac:dyDescent="0.3">
      <c r="B447" s="35"/>
    </row>
    <row r="448" spans="2:2" ht="15.75" customHeight="1" x14ac:dyDescent="0.3">
      <c r="B448" s="35"/>
    </row>
    <row r="449" spans="2:2" ht="15.75" customHeight="1" x14ac:dyDescent="0.3">
      <c r="B449" s="35"/>
    </row>
    <row r="450" spans="2:2" ht="15.75" customHeight="1" x14ac:dyDescent="0.3">
      <c r="B450" s="35"/>
    </row>
    <row r="451" spans="2:2" ht="15.75" customHeight="1" x14ac:dyDescent="0.3">
      <c r="B451" s="35"/>
    </row>
    <row r="452" spans="2:2" ht="15.75" customHeight="1" x14ac:dyDescent="0.3">
      <c r="B452" s="35"/>
    </row>
    <row r="453" spans="2:2" ht="15.75" customHeight="1" x14ac:dyDescent="0.3">
      <c r="B453" s="35"/>
    </row>
    <row r="454" spans="2:2" ht="15.75" customHeight="1" x14ac:dyDescent="0.3">
      <c r="B454" s="35"/>
    </row>
    <row r="455" spans="2:2" ht="15.75" customHeight="1" x14ac:dyDescent="0.3">
      <c r="B455" s="35"/>
    </row>
    <row r="456" spans="2:2" ht="15.75" customHeight="1" x14ac:dyDescent="0.3">
      <c r="B456" s="35"/>
    </row>
    <row r="457" spans="2:2" ht="15.75" customHeight="1" x14ac:dyDescent="0.3">
      <c r="B457" s="35"/>
    </row>
    <row r="458" spans="2:2" ht="15.75" customHeight="1" x14ac:dyDescent="0.3">
      <c r="B458" s="35"/>
    </row>
    <row r="459" spans="2:2" ht="15.75" customHeight="1" x14ac:dyDescent="0.3">
      <c r="B459" s="35"/>
    </row>
    <row r="460" spans="2:2" ht="15.75" customHeight="1" x14ac:dyDescent="0.3">
      <c r="B460" s="35"/>
    </row>
    <row r="461" spans="2:2" ht="15.75" customHeight="1" x14ac:dyDescent="0.3">
      <c r="B461" s="35"/>
    </row>
    <row r="462" spans="2:2" ht="15.75" customHeight="1" x14ac:dyDescent="0.3">
      <c r="B462" s="35"/>
    </row>
    <row r="463" spans="2:2" ht="15.75" customHeight="1" x14ac:dyDescent="0.3">
      <c r="B463" s="35"/>
    </row>
    <row r="464" spans="2:2" ht="15.75" customHeight="1" x14ac:dyDescent="0.3">
      <c r="B464" s="35"/>
    </row>
    <row r="465" spans="2:2" ht="15.75" customHeight="1" x14ac:dyDescent="0.3">
      <c r="B465" s="35"/>
    </row>
    <row r="466" spans="2:2" ht="15.75" customHeight="1" x14ac:dyDescent="0.3">
      <c r="B466" s="35"/>
    </row>
    <row r="467" spans="2:2" ht="15.75" customHeight="1" x14ac:dyDescent="0.3">
      <c r="B467" s="35"/>
    </row>
    <row r="468" spans="2:2" ht="15.75" customHeight="1" x14ac:dyDescent="0.3">
      <c r="B468" s="35"/>
    </row>
    <row r="469" spans="2:2" ht="15.75" customHeight="1" x14ac:dyDescent="0.3">
      <c r="B469" s="35"/>
    </row>
    <row r="470" spans="2:2" ht="15.75" customHeight="1" x14ac:dyDescent="0.3">
      <c r="B470" s="35"/>
    </row>
    <row r="471" spans="2:2" ht="15.75" customHeight="1" x14ac:dyDescent="0.3">
      <c r="B471" s="35"/>
    </row>
    <row r="472" spans="2:2" ht="15.75" customHeight="1" x14ac:dyDescent="0.3">
      <c r="B472" s="35"/>
    </row>
    <row r="473" spans="2:2" ht="15.75" customHeight="1" x14ac:dyDescent="0.3">
      <c r="B473" s="35"/>
    </row>
    <row r="474" spans="2:2" ht="15.75" customHeight="1" x14ac:dyDescent="0.3">
      <c r="B474" s="35"/>
    </row>
    <row r="475" spans="2:2" ht="15.75" customHeight="1" x14ac:dyDescent="0.3">
      <c r="B475" s="35"/>
    </row>
    <row r="476" spans="2:2" ht="15.75" customHeight="1" x14ac:dyDescent="0.3">
      <c r="B476" s="35"/>
    </row>
    <row r="477" spans="2:2" ht="15.75" customHeight="1" x14ac:dyDescent="0.3">
      <c r="B477" s="35"/>
    </row>
    <row r="478" spans="2:2" ht="15.75" customHeight="1" x14ac:dyDescent="0.3">
      <c r="B478" s="35"/>
    </row>
    <row r="479" spans="2:2" ht="15.75" customHeight="1" x14ac:dyDescent="0.3">
      <c r="B479" s="35"/>
    </row>
    <row r="480" spans="2:2" ht="15.75" customHeight="1" x14ac:dyDescent="0.3">
      <c r="B480" s="35"/>
    </row>
    <row r="481" spans="2:2" ht="15.75" customHeight="1" x14ac:dyDescent="0.3">
      <c r="B481" s="35"/>
    </row>
    <row r="482" spans="2:2" ht="15.75" customHeight="1" x14ac:dyDescent="0.3">
      <c r="B482" s="35"/>
    </row>
    <row r="483" spans="2:2" ht="15.75" customHeight="1" x14ac:dyDescent="0.3">
      <c r="B483" s="35"/>
    </row>
    <row r="484" spans="2:2" ht="15.75" customHeight="1" x14ac:dyDescent="0.3">
      <c r="B484" s="35"/>
    </row>
    <row r="485" spans="2:2" ht="15.75" customHeight="1" x14ac:dyDescent="0.3">
      <c r="B485" s="35"/>
    </row>
    <row r="486" spans="2:2" ht="15.75" customHeight="1" x14ac:dyDescent="0.3">
      <c r="B486" s="35"/>
    </row>
    <row r="487" spans="2:2" ht="15.75" customHeight="1" x14ac:dyDescent="0.3">
      <c r="B487" s="35"/>
    </row>
    <row r="488" spans="2:2" ht="15.75" customHeight="1" x14ac:dyDescent="0.3">
      <c r="B488" s="35"/>
    </row>
    <row r="489" spans="2:2" ht="15.75" customHeight="1" x14ac:dyDescent="0.3">
      <c r="B489" s="35"/>
    </row>
    <row r="490" spans="2:2" ht="15.75" customHeight="1" x14ac:dyDescent="0.3">
      <c r="B490" s="35"/>
    </row>
    <row r="491" spans="2:2" ht="15.75" customHeight="1" x14ac:dyDescent="0.3">
      <c r="B491" s="35"/>
    </row>
    <row r="492" spans="2:2" ht="15.75" customHeight="1" x14ac:dyDescent="0.3">
      <c r="B492" s="35"/>
    </row>
    <row r="493" spans="2:2" ht="15.75" customHeight="1" x14ac:dyDescent="0.3">
      <c r="B493" s="35"/>
    </row>
    <row r="494" spans="2:2" ht="15.75" customHeight="1" x14ac:dyDescent="0.3">
      <c r="B494" s="35"/>
    </row>
    <row r="495" spans="2:2" ht="15.75" customHeight="1" x14ac:dyDescent="0.3">
      <c r="B495" s="35"/>
    </row>
    <row r="496" spans="2:2" ht="15.75" customHeight="1" x14ac:dyDescent="0.3">
      <c r="B496" s="35"/>
    </row>
    <row r="497" spans="2:2" ht="15.75" customHeight="1" x14ac:dyDescent="0.3">
      <c r="B497" s="35"/>
    </row>
    <row r="498" spans="2:2" ht="15.75" customHeight="1" x14ac:dyDescent="0.3">
      <c r="B498" s="35"/>
    </row>
    <row r="499" spans="2:2" ht="15.75" customHeight="1" x14ac:dyDescent="0.3">
      <c r="B499" s="35"/>
    </row>
    <row r="500" spans="2:2" ht="15.75" customHeight="1" x14ac:dyDescent="0.3">
      <c r="B500" s="35"/>
    </row>
    <row r="501" spans="2:2" ht="15.75" customHeight="1" x14ac:dyDescent="0.3">
      <c r="B501" s="35"/>
    </row>
    <row r="502" spans="2:2" ht="15.75" customHeight="1" x14ac:dyDescent="0.3">
      <c r="B502" s="35"/>
    </row>
    <row r="503" spans="2:2" ht="15.75" customHeight="1" x14ac:dyDescent="0.3">
      <c r="B503" s="35"/>
    </row>
    <row r="504" spans="2:2" ht="15.75" customHeight="1" x14ac:dyDescent="0.3">
      <c r="B504" s="35"/>
    </row>
    <row r="505" spans="2:2" ht="15.75" customHeight="1" x14ac:dyDescent="0.3">
      <c r="B505" s="35"/>
    </row>
    <row r="506" spans="2:2" ht="15.75" customHeight="1" x14ac:dyDescent="0.3">
      <c r="B506" s="35"/>
    </row>
    <row r="507" spans="2:2" ht="15.75" customHeight="1" x14ac:dyDescent="0.3">
      <c r="B507" s="35"/>
    </row>
    <row r="508" spans="2:2" ht="15.75" customHeight="1" x14ac:dyDescent="0.3">
      <c r="B508" s="35"/>
    </row>
    <row r="509" spans="2:2" ht="15.75" customHeight="1" x14ac:dyDescent="0.3">
      <c r="B509" s="35"/>
    </row>
    <row r="510" spans="2:2" ht="15.75" customHeight="1" x14ac:dyDescent="0.3">
      <c r="B510" s="35"/>
    </row>
    <row r="511" spans="2:2" ht="15.75" customHeight="1" x14ac:dyDescent="0.3">
      <c r="B511" s="35"/>
    </row>
    <row r="512" spans="2:2" ht="15.75" customHeight="1" x14ac:dyDescent="0.3">
      <c r="B512" s="35"/>
    </row>
    <row r="513" spans="2:2" ht="15.75" customHeight="1" x14ac:dyDescent="0.3">
      <c r="B513" s="35"/>
    </row>
    <row r="514" spans="2:2" ht="15.75" customHeight="1" x14ac:dyDescent="0.3">
      <c r="B514" s="35"/>
    </row>
    <row r="515" spans="2:2" ht="15.75" customHeight="1" x14ac:dyDescent="0.3">
      <c r="B515" s="35"/>
    </row>
    <row r="516" spans="2:2" ht="15.75" customHeight="1" x14ac:dyDescent="0.3">
      <c r="B516" s="35"/>
    </row>
    <row r="517" spans="2:2" ht="15.75" customHeight="1" x14ac:dyDescent="0.3">
      <c r="B517" s="35"/>
    </row>
    <row r="518" spans="2:2" ht="15.75" customHeight="1" x14ac:dyDescent="0.3">
      <c r="B518" s="35"/>
    </row>
    <row r="519" spans="2:2" ht="15.75" customHeight="1" x14ac:dyDescent="0.3">
      <c r="B519" s="35"/>
    </row>
    <row r="520" spans="2:2" ht="15.75" customHeight="1" x14ac:dyDescent="0.3">
      <c r="B520" s="35"/>
    </row>
    <row r="521" spans="2:2" ht="15.75" customHeight="1" x14ac:dyDescent="0.3">
      <c r="B521" s="35"/>
    </row>
    <row r="522" spans="2:2" ht="15.75" customHeight="1" x14ac:dyDescent="0.3">
      <c r="B522" s="35"/>
    </row>
    <row r="523" spans="2:2" ht="15.75" customHeight="1" x14ac:dyDescent="0.3">
      <c r="B523" s="35"/>
    </row>
    <row r="524" spans="2:2" ht="15.75" customHeight="1" x14ac:dyDescent="0.3">
      <c r="B524" s="35"/>
    </row>
    <row r="525" spans="2:2" ht="15.75" customHeight="1" x14ac:dyDescent="0.3">
      <c r="B525" s="35"/>
    </row>
    <row r="526" spans="2:2" ht="15.75" customHeight="1" x14ac:dyDescent="0.3">
      <c r="B526" s="35"/>
    </row>
    <row r="527" spans="2:2" ht="15.75" customHeight="1" x14ac:dyDescent="0.3">
      <c r="B527" s="35"/>
    </row>
    <row r="528" spans="2:2" ht="15.75" customHeight="1" x14ac:dyDescent="0.3">
      <c r="B528" s="35"/>
    </row>
    <row r="529" spans="2:2" ht="15.75" customHeight="1" x14ac:dyDescent="0.3">
      <c r="B529" s="35"/>
    </row>
    <row r="530" spans="2:2" ht="15.75" customHeight="1" x14ac:dyDescent="0.3">
      <c r="B530" s="35"/>
    </row>
    <row r="531" spans="2:2" ht="15.75" customHeight="1" x14ac:dyDescent="0.3">
      <c r="B531" s="35"/>
    </row>
    <row r="532" spans="2:2" ht="15.75" customHeight="1" x14ac:dyDescent="0.3">
      <c r="B532" s="35"/>
    </row>
    <row r="533" spans="2:2" ht="15.75" customHeight="1" x14ac:dyDescent="0.3">
      <c r="B533" s="35"/>
    </row>
    <row r="534" spans="2:2" ht="15.75" customHeight="1" x14ac:dyDescent="0.3">
      <c r="B534" s="35"/>
    </row>
    <row r="535" spans="2:2" ht="15.75" customHeight="1" x14ac:dyDescent="0.3">
      <c r="B535" s="35"/>
    </row>
    <row r="536" spans="2:2" ht="15.75" customHeight="1" x14ac:dyDescent="0.3">
      <c r="B536" s="35"/>
    </row>
    <row r="537" spans="2:2" ht="15.75" customHeight="1" x14ac:dyDescent="0.3">
      <c r="B537" s="35"/>
    </row>
    <row r="538" spans="2:2" ht="15.75" customHeight="1" x14ac:dyDescent="0.3">
      <c r="B538" s="35"/>
    </row>
    <row r="539" spans="2:2" ht="15.75" customHeight="1" x14ac:dyDescent="0.3">
      <c r="B539" s="35"/>
    </row>
    <row r="540" spans="2:2" ht="15.75" customHeight="1" x14ac:dyDescent="0.3">
      <c r="B540" s="35"/>
    </row>
    <row r="541" spans="2:2" ht="15.75" customHeight="1" x14ac:dyDescent="0.3">
      <c r="B541" s="35"/>
    </row>
    <row r="542" spans="2:2" ht="15.75" customHeight="1" x14ac:dyDescent="0.3">
      <c r="B542" s="35"/>
    </row>
    <row r="543" spans="2:2" ht="15.75" customHeight="1" x14ac:dyDescent="0.3">
      <c r="B543" s="35"/>
    </row>
    <row r="544" spans="2:2" ht="15.75" customHeight="1" x14ac:dyDescent="0.3">
      <c r="B544" s="35"/>
    </row>
    <row r="545" spans="2:2" ht="15.75" customHeight="1" x14ac:dyDescent="0.3">
      <c r="B545" s="35"/>
    </row>
    <row r="546" spans="2:2" ht="15.75" customHeight="1" x14ac:dyDescent="0.3">
      <c r="B546" s="35"/>
    </row>
    <row r="547" spans="2:2" ht="15.75" customHeight="1" x14ac:dyDescent="0.3">
      <c r="B547" s="35"/>
    </row>
    <row r="548" spans="2:2" ht="15.75" customHeight="1" x14ac:dyDescent="0.3">
      <c r="B548" s="35"/>
    </row>
    <row r="549" spans="2:2" ht="15.75" customHeight="1" x14ac:dyDescent="0.3">
      <c r="B549" s="35"/>
    </row>
    <row r="550" spans="2:2" ht="15.75" customHeight="1" x14ac:dyDescent="0.3">
      <c r="B550" s="35"/>
    </row>
    <row r="551" spans="2:2" ht="15.75" customHeight="1" x14ac:dyDescent="0.3">
      <c r="B551" s="35"/>
    </row>
    <row r="552" spans="2:2" ht="15.75" customHeight="1" x14ac:dyDescent="0.3">
      <c r="B552" s="35"/>
    </row>
    <row r="553" spans="2:2" ht="15.75" customHeight="1" x14ac:dyDescent="0.3">
      <c r="B553" s="35"/>
    </row>
    <row r="554" spans="2:2" ht="15.75" customHeight="1" x14ac:dyDescent="0.3">
      <c r="B554" s="35"/>
    </row>
    <row r="555" spans="2:2" ht="15.75" customHeight="1" x14ac:dyDescent="0.3">
      <c r="B555" s="35"/>
    </row>
    <row r="556" spans="2:2" ht="15.75" customHeight="1" x14ac:dyDescent="0.3">
      <c r="B556" s="35"/>
    </row>
    <row r="557" spans="2:2" ht="15.75" customHeight="1" x14ac:dyDescent="0.3">
      <c r="B557" s="35"/>
    </row>
    <row r="558" spans="2:2" ht="15.75" customHeight="1" x14ac:dyDescent="0.3">
      <c r="B558" s="35"/>
    </row>
    <row r="559" spans="2:2" ht="15.75" customHeight="1" x14ac:dyDescent="0.3">
      <c r="B559" s="35"/>
    </row>
    <row r="560" spans="2:2" ht="15.75" customHeight="1" x14ac:dyDescent="0.3">
      <c r="B560" s="35"/>
    </row>
    <row r="561" spans="2:2" ht="15.75" customHeight="1" x14ac:dyDescent="0.3">
      <c r="B561" s="35"/>
    </row>
    <row r="562" spans="2:2" ht="15.75" customHeight="1" x14ac:dyDescent="0.3">
      <c r="B562" s="35"/>
    </row>
    <row r="563" spans="2:2" ht="15.75" customHeight="1" x14ac:dyDescent="0.3">
      <c r="B563" s="35"/>
    </row>
    <row r="564" spans="2:2" ht="15.75" customHeight="1" x14ac:dyDescent="0.3">
      <c r="B564" s="35"/>
    </row>
    <row r="565" spans="2:2" ht="15.75" customHeight="1" x14ac:dyDescent="0.3">
      <c r="B565" s="35"/>
    </row>
    <row r="566" spans="2:2" ht="15.75" customHeight="1" x14ac:dyDescent="0.3">
      <c r="B566" s="35"/>
    </row>
    <row r="567" spans="2:2" ht="15.75" customHeight="1" x14ac:dyDescent="0.3">
      <c r="B567" s="35"/>
    </row>
    <row r="568" spans="2:2" ht="15.75" customHeight="1" x14ac:dyDescent="0.3">
      <c r="B568" s="35"/>
    </row>
    <row r="569" spans="2:2" ht="15.75" customHeight="1" x14ac:dyDescent="0.3">
      <c r="B569" s="35"/>
    </row>
    <row r="570" spans="2:2" ht="15.75" customHeight="1" x14ac:dyDescent="0.3">
      <c r="B570" s="35"/>
    </row>
    <row r="571" spans="2:2" ht="15.75" customHeight="1" x14ac:dyDescent="0.3">
      <c r="B571" s="35"/>
    </row>
    <row r="572" spans="2:2" ht="15.75" customHeight="1" x14ac:dyDescent="0.3">
      <c r="B572" s="35"/>
    </row>
    <row r="573" spans="2:2" ht="15.75" customHeight="1" x14ac:dyDescent="0.3">
      <c r="B573" s="35"/>
    </row>
    <row r="574" spans="2:2" ht="15.75" customHeight="1" x14ac:dyDescent="0.3">
      <c r="B574" s="35"/>
    </row>
    <row r="575" spans="2:2" ht="15.75" customHeight="1" x14ac:dyDescent="0.3">
      <c r="B575" s="35"/>
    </row>
    <row r="576" spans="2:2" ht="15.75" customHeight="1" x14ac:dyDescent="0.3">
      <c r="B576" s="35"/>
    </row>
    <row r="577" spans="2:2" ht="15.75" customHeight="1" x14ac:dyDescent="0.3">
      <c r="B577" s="35"/>
    </row>
    <row r="578" spans="2:2" ht="15.75" customHeight="1" x14ac:dyDescent="0.3">
      <c r="B578" s="35"/>
    </row>
    <row r="579" spans="2:2" ht="15.75" customHeight="1" x14ac:dyDescent="0.3">
      <c r="B579" s="35"/>
    </row>
    <row r="580" spans="2:2" ht="15.75" customHeight="1" x14ac:dyDescent="0.3">
      <c r="B580" s="35"/>
    </row>
    <row r="581" spans="2:2" ht="15.75" customHeight="1" x14ac:dyDescent="0.3">
      <c r="B581" s="35"/>
    </row>
    <row r="582" spans="2:2" ht="15.75" customHeight="1" x14ac:dyDescent="0.3">
      <c r="B582" s="35"/>
    </row>
    <row r="583" spans="2:2" ht="15.75" customHeight="1" x14ac:dyDescent="0.3">
      <c r="B583" s="35"/>
    </row>
    <row r="584" spans="2:2" ht="15.75" customHeight="1" x14ac:dyDescent="0.3">
      <c r="B584" s="35"/>
    </row>
    <row r="585" spans="2:2" ht="15.75" customHeight="1" x14ac:dyDescent="0.3">
      <c r="B585" s="35"/>
    </row>
    <row r="586" spans="2:2" ht="15.75" customHeight="1" x14ac:dyDescent="0.3">
      <c r="B586" s="35"/>
    </row>
    <row r="587" spans="2:2" ht="15.75" customHeight="1" x14ac:dyDescent="0.3">
      <c r="B587" s="35"/>
    </row>
    <row r="588" spans="2:2" ht="15.75" customHeight="1" x14ac:dyDescent="0.3">
      <c r="B588" s="35"/>
    </row>
    <row r="589" spans="2:2" ht="15.75" customHeight="1" x14ac:dyDescent="0.3">
      <c r="B589" s="35"/>
    </row>
    <row r="590" spans="2:2" ht="15.75" customHeight="1" x14ac:dyDescent="0.3">
      <c r="B590" s="35"/>
    </row>
    <row r="591" spans="2:2" ht="15.75" customHeight="1" x14ac:dyDescent="0.3">
      <c r="B591" s="35"/>
    </row>
    <row r="592" spans="2:2" ht="15.75" customHeight="1" x14ac:dyDescent="0.3">
      <c r="B592" s="35"/>
    </row>
    <row r="593" spans="2:2" ht="15.75" customHeight="1" x14ac:dyDescent="0.3">
      <c r="B593" s="35"/>
    </row>
    <row r="594" spans="2:2" ht="15.75" customHeight="1" x14ac:dyDescent="0.3">
      <c r="B594" s="35"/>
    </row>
    <row r="595" spans="2:2" ht="15.75" customHeight="1" x14ac:dyDescent="0.3">
      <c r="B595" s="35"/>
    </row>
    <row r="596" spans="2:2" ht="15.75" customHeight="1" x14ac:dyDescent="0.3">
      <c r="B596" s="35"/>
    </row>
    <row r="597" spans="2:2" ht="15.75" customHeight="1" x14ac:dyDescent="0.3">
      <c r="B597" s="35"/>
    </row>
    <row r="598" spans="2:2" ht="15.75" customHeight="1" x14ac:dyDescent="0.3">
      <c r="B598" s="35"/>
    </row>
    <row r="599" spans="2:2" ht="15.75" customHeight="1" x14ac:dyDescent="0.3">
      <c r="B599" s="35"/>
    </row>
    <row r="600" spans="2:2" ht="15.75" customHeight="1" x14ac:dyDescent="0.3">
      <c r="B600" s="35"/>
    </row>
    <row r="601" spans="2:2" ht="15.75" customHeight="1" x14ac:dyDescent="0.3">
      <c r="B601" s="35"/>
    </row>
    <row r="602" spans="2:2" ht="15.75" customHeight="1" x14ac:dyDescent="0.3">
      <c r="B602" s="35"/>
    </row>
    <row r="603" spans="2:2" ht="15.75" customHeight="1" x14ac:dyDescent="0.3">
      <c r="B603" s="35"/>
    </row>
    <row r="604" spans="2:2" ht="15.75" customHeight="1" x14ac:dyDescent="0.3">
      <c r="B604" s="35"/>
    </row>
    <row r="605" spans="2:2" ht="15.75" customHeight="1" x14ac:dyDescent="0.3">
      <c r="B605" s="35"/>
    </row>
    <row r="606" spans="2:2" ht="15.75" customHeight="1" x14ac:dyDescent="0.3">
      <c r="B606" s="35"/>
    </row>
    <row r="607" spans="2:2" ht="15.75" customHeight="1" x14ac:dyDescent="0.3">
      <c r="B607" s="35"/>
    </row>
    <row r="608" spans="2:2" ht="15.75" customHeight="1" x14ac:dyDescent="0.3">
      <c r="B608" s="35"/>
    </row>
    <row r="609" spans="2:2" ht="15.75" customHeight="1" x14ac:dyDescent="0.3">
      <c r="B609" s="35"/>
    </row>
    <row r="610" spans="2:2" ht="15.75" customHeight="1" x14ac:dyDescent="0.3">
      <c r="B610" s="35"/>
    </row>
    <row r="611" spans="2:2" ht="15.75" customHeight="1" x14ac:dyDescent="0.3">
      <c r="B611" s="35"/>
    </row>
    <row r="612" spans="2:2" ht="15.75" customHeight="1" x14ac:dyDescent="0.3">
      <c r="B612" s="35"/>
    </row>
    <row r="613" spans="2:2" ht="15.75" customHeight="1" x14ac:dyDescent="0.3">
      <c r="B613" s="35"/>
    </row>
    <row r="614" spans="2:2" ht="15.75" customHeight="1" x14ac:dyDescent="0.3">
      <c r="B614" s="35"/>
    </row>
    <row r="615" spans="2:2" ht="15.75" customHeight="1" x14ac:dyDescent="0.3">
      <c r="B615" s="35"/>
    </row>
    <row r="616" spans="2:2" ht="15.75" customHeight="1" x14ac:dyDescent="0.3">
      <c r="B616" s="35"/>
    </row>
    <row r="617" spans="2:2" ht="15.75" customHeight="1" x14ac:dyDescent="0.3">
      <c r="B617" s="35"/>
    </row>
    <row r="618" spans="2:2" ht="15.75" customHeight="1" x14ac:dyDescent="0.3">
      <c r="B618" s="35"/>
    </row>
    <row r="619" spans="2:2" ht="15.75" customHeight="1" x14ac:dyDescent="0.3">
      <c r="B619" s="35"/>
    </row>
    <row r="620" spans="2:2" ht="15.75" customHeight="1" x14ac:dyDescent="0.3">
      <c r="B620" s="35"/>
    </row>
    <row r="621" spans="2:2" ht="15.75" customHeight="1" x14ac:dyDescent="0.3">
      <c r="B621" s="35"/>
    </row>
    <row r="622" spans="2:2" ht="15.75" customHeight="1" x14ac:dyDescent="0.3">
      <c r="B622" s="35"/>
    </row>
    <row r="623" spans="2:2" ht="15.75" customHeight="1" x14ac:dyDescent="0.3">
      <c r="B623" s="35"/>
    </row>
    <row r="624" spans="2:2" ht="15.75" customHeight="1" x14ac:dyDescent="0.3">
      <c r="B624" s="35"/>
    </row>
    <row r="625" spans="2:2" ht="15.75" customHeight="1" x14ac:dyDescent="0.3">
      <c r="B625" s="35"/>
    </row>
    <row r="626" spans="2:2" ht="15.75" customHeight="1" x14ac:dyDescent="0.3">
      <c r="B626" s="35"/>
    </row>
    <row r="627" spans="2:2" ht="15.75" customHeight="1" x14ac:dyDescent="0.3">
      <c r="B627" s="35"/>
    </row>
    <row r="628" spans="2:2" ht="15.75" customHeight="1" x14ac:dyDescent="0.3">
      <c r="B628" s="35"/>
    </row>
    <row r="629" spans="2:2" ht="15.75" customHeight="1" x14ac:dyDescent="0.3">
      <c r="B629" s="35"/>
    </row>
    <row r="630" spans="2:2" ht="15.75" customHeight="1" x14ac:dyDescent="0.3">
      <c r="B630" s="35"/>
    </row>
    <row r="631" spans="2:2" ht="15.75" customHeight="1" x14ac:dyDescent="0.3">
      <c r="B631" s="35"/>
    </row>
    <row r="632" spans="2:2" ht="15.75" customHeight="1" x14ac:dyDescent="0.3">
      <c r="B632" s="35"/>
    </row>
    <row r="633" spans="2:2" ht="15.75" customHeight="1" x14ac:dyDescent="0.3">
      <c r="B633" s="35"/>
    </row>
    <row r="634" spans="2:2" ht="15.75" customHeight="1" x14ac:dyDescent="0.3">
      <c r="B634" s="35"/>
    </row>
    <row r="635" spans="2:2" ht="15.75" customHeight="1" x14ac:dyDescent="0.3">
      <c r="B635" s="35"/>
    </row>
    <row r="636" spans="2:2" ht="15.75" customHeight="1" x14ac:dyDescent="0.3">
      <c r="B636" s="35"/>
    </row>
    <row r="637" spans="2:2" ht="15.75" customHeight="1" x14ac:dyDescent="0.3">
      <c r="B637" s="35"/>
    </row>
    <row r="638" spans="2:2" ht="15.75" customHeight="1" x14ac:dyDescent="0.3">
      <c r="B638" s="35"/>
    </row>
    <row r="639" spans="2:2" ht="15.75" customHeight="1" x14ac:dyDescent="0.3">
      <c r="B639" s="35"/>
    </row>
    <row r="640" spans="2:2" ht="15.75" customHeight="1" x14ac:dyDescent="0.3">
      <c r="B640" s="35"/>
    </row>
    <row r="641" spans="2:2" ht="15.75" customHeight="1" x14ac:dyDescent="0.3">
      <c r="B641" s="35"/>
    </row>
    <row r="642" spans="2:2" ht="15.75" customHeight="1" x14ac:dyDescent="0.3">
      <c r="B642" s="35"/>
    </row>
    <row r="643" spans="2:2" ht="15.75" customHeight="1" x14ac:dyDescent="0.3">
      <c r="B643" s="35"/>
    </row>
    <row r="644" spans="2:2" ht="15.75" customHeight="1" x14ac:dyDescent="0.3">
      <c r="B644" s="35"/>
    </row>
    <row r="645" spans="2:2" ht="15.75" customHeight="1" x14ac:dyDescent="0.3">
      <c r="B645" s="35"/>
    </row>
    <row r="646" spans="2:2" ht="15.75" customHeight="1" x14ac:dyDescent="0.3">
      <c r="B646" s="35"/>
    </row>
    <row r="647" spans="2:2" ht="15.75" customHeight="1" x14ac:dyDescent="0.3">
      <c r="B647" s="35"/>
    </row>
    <row r="648" spans="2:2" ht="15.75" customHeight="1" x14ac:dyDescent="0.3">
      <c r="B648" s="35"/>
    </row>
    <row r="649" spans="2:2" ht="15.75" customHeight="1" x14ac:dyDescent="0.3">
      <c r="B649" s="35"/>
    </row>
    <row r="650" spans="2:2" ht="15.75" customHeight="1" x14ac:dyDescent="0.3">
      <c r="B650" s="35"/>
    </row>
    <row r="651" spans="2:2" ht="15.75" customHeight="1" x14ac:dyDescent="0.3">
      <c r="B651" s="35"/>
    </row>
    <row r="652" spans="2:2" ht="15.75" customHeight="1" x14ac:dyDescent="0.3">
      <c r="B652" s="35"/>
    </row>
    <row r="653" spans="2:2" ht="15.75" customHeight="1" x14ac:dyDescent="0.3">
      <c r="B653" s="35"/>
    </row>
    <row r="654" spans="2:2" ht="15.75" customHeight="1" x14ac:dyDescent="0.3">
      <c r="B654" s="35"/>
    </row>
    <row r="655" spans="2:2" ht="15.75" customHeight="1" x14ac:dyDescent="0.3">
      <c r="B655" s="35"/>
    </row>
    <row r="656" spans="2:2" ht="15.75" customHeight="1" x14ac:dyDescent="0.3">
      <c r="B656" s="35"/>
    </row>
    <row r="657" spans="2:2" ht="15.75" customHeight="1" x14ac:dyDescent="0.3">
      <c r="B657" s="35"/>
    </row>
    <row r="658" spans="2:2" ht="15.75" customHeight="1" x14ac:dyDescent="0.3">
      <c r="B658" s="35"/>
    </row>
    <row r="659" spans="2:2" ht="15.75" customHeight="1" x14ac:dyDescent="0.3">
      <c r="B659" s="35"/>
    </row>
    <row r="660" spans="2:2" ht="15.75" customHeight="1" x14ac:dyDescent="0.3">
      <c r="B660" s="35"/>
    </row>
    <row r="661" spans="2:2" ht="15.75" customHeight="1" x14ac:dyDescent="0.3">
      <c r="B661" s="35"/>
    </row>
    <row r="662" spans="2:2" ht="15.75" customHeight="1" x14ac:dyDescent="0.3">
      <c r="B662" s="35"/>
    </row>
    <row r="663" spans="2:2" ht="15.75" customHeight="1" x14ac:dyDescent="0.3">
      <c r="B663" s="35"/>
    </row>
    <row r="664" spans="2:2" ht="15.75" customHeight="1" x14ac:dyDescent="0.3">
      <c r="B664" s="35"/>
    </row>
    <row r="665" spans="2:2" ht="15.75" customHeight="1" x14ac:dyDescent="0.3">
      <c r="B665" s="35"/>
    </row>
    <row r="666" spans="2:2" ht="15.75" customHeight="1" x14ac:dyDescent="0.3">
      <c r="B666" s="35"/>
    </row>
    <row r="667" spans="2:2" ht="15.75" customHeight="1" x14ac:dyDescent="0.3">
      <c r="B667" s="35"/>
    </row>
    <row r="668" spans="2:2" ht="15.75" customHeight="1" x14ac:dyDescent="0.3">
      <c r="B668" s="35"/>
    </row>
    <row r="669" spans="2:2" ht="15.75" customHeight="1" x14ac:dyDescent="0.3">
      <c r="B669" s="35"/>
    </row>
    <row r="670" spans="2:2" ht="15.75" customHeight="1" x14ac:dyDescent="0.3">
      <c r="B670" s="35"/>
    </row>
    <row r="671" spans="2:2" ht="15.75" customHeight="1" x14ac:dyDescent="0.3">
      <c r="B671" s="35"/>
    </row>
    <row r="672" spans="2:2" ht="15.75" customHeight="1" x14ac:dyDescent="0.3">
      <c r="B672" s="35"/>
    </row>
    <row r="673" spans="2:2" ht="15.75" customHeight="1" x14ac:dyDescent="0.3">
      <c r="B673" s="35"/>
    </row>
    <row r="674" spans="2:2" ht="15.75" customHeight="1" x14ac:dyDescent="0.3">
      <c r="B674" s="35"/>
    </row>
    <row r="675" spans="2:2" ht="15.75" customHeight="1" x14ac:dyDescent="0.3">
      <c r="B675" s="35"/>
    </row>
    <row r="676" spans="2:2" ht="15.75" customHeight="1" x14ac:dyDescent="0.3">
      <c r="B676" s="35"/>
    </row>
    <row r="677" spans="2:2" ht="15.75" customHeight="1" x14ac:dyDescent="0.3">
      <c r="B677" s="35"/>
    </row>
    <row r="678" spans="2:2" ht="15.75" customHeight="1" x14ac:dyDescent="0.3">
      <c r="B678" s="35"/>
    </row>
    <row r="679" spans="2:2" ht="15.75" customHeight="1" x14ac:dyDescent="0.3">
      <c r="B679" s="35"/>
    </row>
    <row r="680" spans="2:2" ht="15.75" customHeight="1" x14ac:dyDescent="0.3">
      <c r="B680" s="35"/>
    </row>
    <row r="681" spans="2:2" ht="15.75" customHeight="1" x14ac:dyDescent="0.3">
      <c r="B681" s="35"/>
    </row>
    <row r="682" spans="2:2" ht="15.75" customHeight="1" x14ac:dyDescent="0.3">
      <c r="B682" s="35"/>
    </row>
    <row r="683" spans="2:2" ht="15.75" customHeight="1" x14ac:dyDescent="0.3">
      <c r="B683" s="35"/>
    </row>
    <row r="684" spans="2:2" ht="15.75" customHeight="1" x14ac:dyDescent="0.3">
      <c r="B684" s="35"/>
    </row>
    <row r="685" spans="2:2" ht="15.75" customHeight="1" x14ac:dyDescent="0.3">
      <c r="B685" s="35"/>
    </row>
    <row r="686" spans="2:2" ht="15.75" customHeight="1" x14ac:dyDescent="0.3">
      <c r="B686" s="35"/>
    </row>
    <row r="687" spans="2:2" ht="15.75" customHeight="1" x14ac:dyDescent="0.3">
      <c r="B687" s="35"/>
    </row>
    <row r="688" spans="2:2" ht="15.75" customHeight="1" x14ac:dyDescent="0.3">
      <c r="B688" s="35"/>
    </row>
    <row r="689" spans="2:2" ht="15.75" customHeight="1" x14ac:dyDescent="0.3">
      <c r="B689" s="35"/>
    </row>
    <row r="690" spans="2:2" ht="15.75" customHeight="1" x14ac:dyDescent="0.3">
      <c r="B690" s="35"/>
    </row>
    <row r="691" spans="2:2" ht="15.75" customHeight="1" x14ac:dyDescent="0.3">
      <c r="B691" s="35"/>
    </row>
    <row r="692" spans="2:2" ht="15.75" customHeight="1" x14ac:dyDescent="0.3">
      <c r="B692" s="35"/>
    </row>
    <row r="693" spans="2:2" ht="15.75" customHeight="1" x14ac:dyDescent="0.3">
      <c r="B693" s="35"/>
    </row>
    <row r="694" spans="2:2" ht="15.75" customHeight="1" x14ac:dyDescent="0.3">
      <c r="B694" s="35"/>
    </row>
    <row r="695" spans="2:2" ht="15.75" customHeight="1" x14ac:dyDescent="0.3">
      <c r="B695" s="35"/>
    </row>
    <row r="696" spans="2:2" ht="15.75" customHeight="1" x14ac:dyDescent="0.3">
      <c r="B696" s="35"/>
    </row>
    <row r="697" spans="2:2" ht="15.75" customHeight="1" x14ac:dyDescent="0.3">
      <c r="B697" s="35"/>
    </row>
    <row r="698" spans="2:2" ht="15.75" customHeight="1" x14ac:dyDescent="0.3">
      <c r="B698" s="35"/>
    </row>
    <row r="699" spans="2:2" ht="15.75" customHeight="1" x14ac:dyDescent="0.3">
      <c r="B699" s="35"/>
    </row>
    <row r="700" spans="2:2" ht="15.75" customHeight="1" x14ac:dyDescent="0.3">
      <c r="B700" s="35"/>
    </row>
    <row r="701" spans="2:2" ht="15.75" customHeight="1" x14ac:dyDescent="0.3">
      <c r="B701" s="35"/>
    </row>
    <row r="702" spans="2:2" ht="15.75" customHeight="1" x14ac:dyDescent="0.3">
      <c r="B702" s="35"/>
    </row>
    <row r="703" spans="2:2" ht="15.75" customHeight="1" x14ac:dyDescent="0.3">
      <c r="B703" s="35"/>
    </row>
    <row r="704" spans="2:2" ht="15.75" customHeight="1" x14ac:dyDescent="0.3">
      <c r="B704" s="35"/>
    </row>
    <row r="705" spans="2:2" ht="15.75" customHeight="1" x14ac:dyDescent="0.3">
      <c r="B705" s="35"/>
    </row>
    <row r="706" spans="2:2" ht="15.75" customHeight="1" x14ac:dyDescent="0.3">
      <c r="B706" s="35"/>
    </row>
    <row r="707" spans="2:2" ht="15.75" customHeight="1" x14ac:dyDescent="0.3">
      <c r="B707" s="35"/>
    </row>
    <row r="708" spans="2:2" ht="15.75" customHeight="1" x14ac:dyDescent="0.3">
      <c r="B708" s="35"/>
    </row>
    <row r="709" spans="2:2" ht="15.75" customHeight="1" x14ac:dyDescent="0.3">
      <c r="B709" s="35"/>
    </row>
    <row r="710" spans="2:2" ht="15.75" customHeight="1" x14ac:dyDescent="0.3">
      <c r="B710" s="35"/>
    </row>
    <row r="711" spans="2:2" ht="15.75" customHeight="1" x14ac:dyDescent="0.3">
      <c r="B711" s="35"/>
    </row>
    <row r="712" spans="2:2" ht="15.75" customHeight="1" x14ac:dyDescent="0.3">
      <c r="B712" s="35"/>
    </row>
    <row r="713" spans="2:2" ht="15.75" customHeight="1" x14ac:dyDescent="0.3">
      <c r="B713" s="35"/>
    </row>
    <row r="714" spans="2:2" ht="15.75" customHeight="1" x14ac:dyDescent="0.3">
      <c r="B714" s="35"/>
    </row>
    <row r="715" spans="2:2" ht="15.75" customHeight="1" x14ac:dyDescent="0.3">
      <c r="B715" s="35"/>
    </row>
    <row r="716" spans="2:2" ht="15.75" customHeight="1" x14ac:dyDescent="0.3">
      <c r="B716" s="35"/>
    </row>
    <row r="717" spans="2:2" ht="15.75" customHeight="1" x14ac:dyDescent="0.3">
      <c r="B717" s="35"/>
    </row>
    <row r="718" spans="2:2" ht="15.75" customHeight="1" x14ac:dyDescent="0.3">
      <c r="B718" s="35"/>
    </row>
    <row r="719" spans="2:2" ht="15.75" customHeight="1" x14ac:dyDescent="0.3">
      <c r="B719" s="35"/>
    </row>
    <row r="720" spans="2:2" ht="15.75" customHeight="1" x14ac:dyDescent="0.3">
      <c r="B720" s="35"/>
    </row>
    <row r="721" spans="2:2" ht="15.75" customHeight="1" x14ac:dyDescent="0.3">
      <c r="B721" s="35"/>
    </row>
    <row r="722" spans="2:2" ht="15.75" customHeight="1" x14ac:dyDescent="0.3">
      <c r="B722" s="35"/>
    </row>
    <row r="723" spans="2:2" ht="15.75" customHeight="1" x14ac:dyDescent="0.3">
      <c r="B723" s="35"/>
    </row>
    <row r="724" spans="2:2" ht="15.75" customHeight="1" x14ac:dyDescent="0.3">
      <c r="B724" s="35"/>
    </row>
    <row r="725" spans="2:2" ht="15.75" customHeight="1" x14ac:dyDescent="0.3">
      <c r="B725" s="35"/>
    </row>
    <row r="726" spans="2:2" ht="15.75" customHeight="1" x14ac:dyDescent="0.3">
      <c r="B726" s="35"/>
    </row>
    <row r="727" spans="2:2" ht="15.75" customHeight="1" x14ac:dyDescent="0.3">
      <c r="B727" s="35"/>
    </row>
    <row r="728" spans="2:2" ht="15.75" customHeight="1" x14ac:dyDescent="0.3">
      <c r="B728" s="35"/>
    </row>
    <row r="729" spans="2:2" ht="15.75" customHeight="1" x14ac:dyDescent="0.3">
      <c r="B729" s="35"/>
    </row>
    <row r="730" spans="2:2" ht="15.75" customHeight="1" x14ac:dyDescent="0.3">
      <c r="B730" s="35"/>
    </row>
    <row r="731" spans="2:2" ht="15.75" customHeight="1" x14ac:dyDescent="0.3">
      <c r="B731" s="35"/>
    </row>
    <row r="732" spans="2:2" ht="15.75" customHeight="1" x14ac:dyDescent="0.3">
      <c r="B732" s="35"/>
    </row>
    <row r="733" spans="2:2" ht="15.75" customHeight="1" x14ac:dyDescent="0.3">
      <c r="B733" s="35"/>
    </row>
    <row r="734" spans="2:2" ht="15.75" customHeight="1" x14ac:dyDescent="0.3">
      <c r="B734" s="35"/>
    </row>
    <row r="735" spans="2:2" ht="15.75" customHeight="1" x14ac:dyDescent="0.3">
      <c r="B735" s="35"/>
    </row>
    <row r="736" spans="2:2" ht="15.75" customHeight="1" x14ac:dyDescent="0.3">
      <c r="B736" s="35"/>
    </row>
    <row r="737" spans="2:2" ht="15.75" customHeight="1" x14ac:dyDescent="0.3">
      <c r="B737" s="35"/>
    </row>
    <row r="738" spans="2:2" ht="15.75" customHeight="1" x14ac:dyDescent="0.3">
      <c r="B738" s="35"/>
    </row>
    <row r="739" spans="2:2" ht="15.75" customHeight="1" x14ac:dyDescent="0.3">
      <c r="B739" s="35"/>
    </row>
    <row r="740" spans="2:2" ht="15.75" customHeight="1" x14ac:dyDescent="0.3">
      <c r="B740" s="35"/>
    </row>
    <row r="741" spans="2:2" ht="15.75" customHeight="1" x14ac:dyDescent="0.3">
      <c r="B741" s="35"/>
    </row>
    <row r="742" spans="2:2" ht="15.75" customHeight="1" x14ac:dyDescent="0.3">
      <c r="B742" s="35"/>
    </row>
    <row r="743" spans="2:2" ht="15.75" customHeight="1" x14ac:dyDescent="0.3">
      <c r="B743" s="35"/>
    </row>
    <row r="744" spans="2:2" ht="15.75" customHeight="1" x14ac:dyDescent="0.3">
      <c r="B744" s="35"/>
    </row>
    <row r="745" spans="2:2" ht="15.75" customHeight="1" x14ac:dyDescent="0.3">
      <c r="B745" s="35"/>
    </row>
    <row r="746" spans="2:2" ht="15.75" customHeight="1" x14ac:dyDescent="0.3">
      <c r="B746" s="35"/>
    </row>
    <row r="747" spans="2:2" ht="15.75" customHeight="1" x14ac:dyDescent="0.3">
      <c r="B747" s="35"/>
    </row>
    <row r="748" spans="2:2" ht="15.75" customHeight="1" x14ac:dyDescent="0.3">
      <c r="B748" s="35"/>
    </row>
    <row r="749" spans="2:2" ht="15.75" customHeight="1" x14ac:dyDescent="0.3">
      <c r="B749" s="35"/>
    </row>
    <row r="750" spans="2:2" ht="15.75" customHeight="1" x14ac:dyDescent="0.3">
      <c r="B750" s="35"/>
    </row>
    <row r="751" spans="2:2" ht="15.75" customHeight="1" x14ac:dyDescent="0.3">
      <c r="B751" s="35"/>
    </row>
    <row r="752" spans="2:2" ht="15.75" customHeight="1" x14ac:dyDescent="0.3">
      <c r="B752" s="35"/>
    </row>
    <row r="753" spans="2:2" ht="15.75" customHeight="1" x14ac:dyDescent="0.3">
      <c r="B753" s="35"/>
    </row>
    <row r="754" spans="2:2" ht="15.75" customHeight="1" x14ac:dyDescent="0.3">
      <c r="B754" s="35"/>
    </row>
    <row r="755" spans="2:2" ht="15.75" customHeight="1" x14ac:dyDescent="0.3">
      <c r="B755" s="35"/>
    </row>
    <row r="756" spans="2:2" ht="15.75" customHeight="1" x14ac:dyDescent="0.3">
      <c r="B756" s="35"/>
    </row>
    <row r="757" spans="2:2" ht="15.75" customHeight="1" x14ac:dyDescent="0.3">
      <c r="B757" s="35"/>
    </row>
    <row r="758" spans="2:2" ht="15.75" customHeight="1" x14ac:dyDescent="0.3">
      <c r="B758" s="35"/>
    </row>
    <row r="759" spans="2:2" ht="15.75" customHeight="1" x14ac:dyDescent="0.3">
      <c r="B759" s="35"/>
    </row>
    <row r="760" spans="2:2" ht="15.75" customHeight="1" x14ac:dyDescent="0.3">
      <c r="B760" s="35"/>
    </row>
    <row r="761" spans="2:2" ht="15.75" customHeight="1" x14ac:dyDescent="0.3">
      <c r="B761" s="35"/>
    </row>
    <row r="762" spans="2:2" ht="15.75" customHeight="1" x14ac:dyDescent="0.3">
      <c r="B762" s="35"/>
    </row>
    <row r="763" spans="2:2" ht="15.75" customHeight="1" x14ac:dyDescent="0.3">
      <c r="B763" s="35"/>
    </row>
    <row r="764" spans="2:2" ht="15.75" customHeight="1" x14ac:dyDescent="0.3">
      <c r="B764" s="35"/>
    </row>
    <row r="765" spans="2:2" ht="15.75" customHeight="1" x14ac:dyDescent="0.3">
      <c r="B765" s="35"/>
    </row>
    <row r="766" spans="2:2" ht="15.75" customHeight="1" x14ac:dyDescent="0.3">
      <c r="B766" s="35"/>
    </row>
    <row r="767" spans="2:2" ht="15.75" customHeight="1" x14ac:dyDescent="0.3">
      <c r="B767" s="35"/>
    </row>
    <row r="768" spans="2:2" ht="15.75" customHeight="1" x14ac:dyDescent="0.3">
      <c r="B768" s="35"/>
    </row>
    <row r="769" spans="2:2" ht="15.75" customHeight="1" x14ac:dyDescent="0.3">
      <c r="B769" s="35"/>
    </row>
    <row r="770" spans="2:2" ht="15.75" customHeight="1" x14ac:dyDescent="0.3">
      <c r="B770" s="35"/>
    </row>
    <row r="771" spans="2:2" ht="15.75" customHeight="1" x14ac:dyDescent="0.3">
      <c r="B771" s="35"/>
    </row>
    <row r="772" spans="2:2" ht="15.75" customHeight="1" x14ac:dyDescent="0.3">
      <c r="B772" s="35"/>
    </row>
    <row r="773" spans="2:2" ht="15.75" customHeight="1" x14ac:dyDescent="0.3">
      <c r="B773" s="35"/>
    </row>
    <row r="774" spans="2:2" ht="15.75" customHeight="1" x14ac:dyDescent="0.3">
      <c r="B774" s="35"/>
    </row>
    <row r="775" spans="2:2" ht="15.75" customHeight="1" x14ac:dyDescent="0.3">
      <c r="B775" s="35"/>
    </row>
    <row r="776" spans="2:2" ht="15.75" customHeight="1" x14ac:dyDescent="0.3">
      <c r="B776" s="35"/>
    </row>
    <row r="777" spans="2:2" ht="15.75" customHeight="1" x14ac:dyDescent="0.3">
      <c r="B777" s="35"/>
    </row>
    <row r="778" spans="2:2" ht="15.75" customHeight="1" x14ac:dyDescent="0.3">
      <c r="B778" s="35"/>
    </row>
    <row r="779" spans="2:2" ht="15.75" customHeight="1" x14ac:dyDescent="0.3">
      <c r="B779" s="35"/>
    </row>
    <row r="780" spans="2:2" ht="15.75" customHeight="1" x14ac:dyDescent="0.3">
      <c r="B780" s="35"/>
    </row>
    <row r="781" spans="2:2" ht="15.75" customHeight="1" x14ac:dyDescent="0.3">
      <c r="B781" s="35"/>
    </row>
    <row r="782" spans="2:2" ht="15.75" customHeight="1" x14ac:dyDescent="0.3">
      <c r="B782" s="35"/>
    </row>
    <row r="783" spans="2:2" ht="15.75" customHeight="1" x14ac:dyDescent="0.3">
      <c r="B783" s="35"/>
    </row>
    <row r="784" spans="2:2" ht="15.75" customHeight="1" x14ac:dyDescent="0.3">
      <c r="B784" s="35"/>
    </row>
    <row r="785" spans="2:2" ht="15.75" customHeight="1" x14ac:dyDescent="0.3">
      <c r="B785" s="35"/>
    </row>
    <row r="786" spans="2:2" ht="15.75" customHeight="1" x14ac:dyDescent="0.3">
      <c r="B786" s="35"/>
    </row>
    <row r="787" spans="2:2" ht="15.75" customHeight="1" x14ac:dyDescent="0.3">
      <c r="B787" s="35"/>
    </row>
    <row r="788" spans="2:2" ht="15.75" customHeight="1" x14ac:dyDescent="0.3">
      <c r="B788" s="35"/>
    </row>
    <row r="789" spans="2:2" ht="15.75" customHeight="1" x14ac:dyDescent="0.3">
      <c r="B789" s="35"/>
    </row>
    <row r="790" spans="2:2" ht="15.75" customHeight="1" x14ac:dyDescent="0.3">
      <c r="B790" s="35"/>
    </row>
    <row r="791" spans="2:2" ht="15.75" customHeight="1" x14ac:dyDescent="0.3">
      <c r="B791" s="35"/>
    </row>
    <row r="792" spans="2:2" ht="15.75" customHeight="1" x14ac:dyDescent="0.3">
      <c r="B792" s="35"/>
    </row>
    <row r="793" spans="2:2" ht="15.75" customHeight="1" x14ac:dyDescent="0.3">
      <c r="B793" s="35"/>
    </row>
    <row r="794" spans="2:2" ht="15.75" customHeight="1" x14ac:dyDescent="0.3">
      <c r="B794" s="35"/>
    </row>
    <row r="795" spans="2:2" ht="15.75" customHeight="1" x14ac:dyDescent="0.3">
      <c r="B795" s="35"/>
    </row>
    <row r="796" spans="2:2" ht="15.75" customHeight="1" x14ac:dyDescent="0.3">
      <c r="B796" s="35"/>
    </row>
    <row r="797" spans="2:2" ht="15.75" customHeight="1" x14ac:dyDescent="0.3">
      <c r="B797" s="35"/>
    </row>
    <row r="798" spans="2:2" ht="15.75" customHeight="1" x14ac:dyDescent="0.3">
      <c r="B798" s="35"/>
    </row>
    <row r="799" spans="2:2" ht="15.75" customHeight="1" x14ac:dyDescent="0.3">
      <c r="B799" s="35"/>
    </row>
    <row r="800" spans="2:2" ht="15.75" customHeight="1" x14ac:dyDescent="0.3">
      <c r="B800" s="35"/>
    </row>
    <row r="801" spans="2:2" ht="15.75" customHeight="1" x14ac:dyDescent="0.3">
      <c r="B801" s="35"/>
    </row>
    <row r="802" spans="2:2" ht="15.75" customHeight="1" x14ac:dyDescent="0.3">
      <c r="B802" s="35"/>
    </row>
    <row r="803" spans="2:2" ht="15.75" customHeight="1" x14ac:dyDescent="0.3">
      <c r="B803" s="35"/>
    </row>
    <row r="804" spans="2:2" ht="15.75" customHeight="1" x14ac:dyDescent="0.3">
      <c r="B804" s="35"/>
    </row>
    <row r="805" spans="2:2" ht="15.75" customHeight="1" x14ac:dyDescent="0.3">
      <c r="B805" s="35"/>
    </row>
    <row r="806" spans="2:2" ht="15.75" customHeight="1" x14ac:dyDescent="0.3">
      <c r="B806" s="35"/>
    </row>
    <row r="807" spans="2:2" ht="15.75" customHeight="1" x14ac:dyDescent="0.3">
      <c r="B807" s="35"/>
    </row>
    <row r="808" spans="2:2" ht="15.75" customHeight="1" x14ac:dyDescent="0.3">
      <c r="B808" s="35"/>
    </row>
    <row r="809" spans="2:2" ht="15.75" customHeight="1" x14ac:dyDescent="0.3">
      <c r="B809" s="35"/>
    </row>
    <row r="810" spans="2:2" ht="15.75" customHeight="1" x14ac:dyDescent="0.3">
      <c r="B810" s="35"/>
    </row>
    <row r="811" spans="2:2" ht="15.75" customHeight="1" x14ac:dyDescent="0.3">
      <c r="B811" s="35"/>
    </row>
    <row r="812" spans="2:2" ht="15.75" customHeight="1" x14ac:dyDescent="0.3">
      <c r="B812" s="35"/>
    </row>
    <row r="813" spans="2:2" ht="15.75" customHeight="1" x14ac:dyDescent="0.3">
      <c r="B813" s="35"/>
    </row>
    <row r="814" spans="2:2" ht="15.75" customHeight="1" x14ac:dyDescent="0.3">
      <c r="B814" s="35"/>
    </row>
    <row r="815" spans="2:2" ht="15.75" customHeight="1" x14ac:dyDescent="0.3">
      <c r="B815" s="35"/>
    </row>
    <row r="816" spans="2:2" ht="15.75" customHeight="1" x14ac:dyDescent="0.3">
      <c r="B816" s="35"/>
    </row>
    <row r="817" spans="2:2" ht="15.75" customHeight="1" x14ac:dyDescent="0.3">
      <c r="B817" s="35"/>
    </row>
    <row r="818" spans="2:2" ht="15.75" customHeight="1" x14ac:dyDescent="0.3">
      <c r="B818" s="35"/>
    </row>
    <row r="819" spans="2:2" ht="15.75" customHeight="1" x14ac:dyDescent="0.3">
      <c r="B819" s="35"/>
    </row>
    <row r="820" spans="2:2" ht="15.75" customHeight="1" x14ac:dyDescent="0.3">
      <c r="B820" s="35"/>
    </row>
    <row r="821" spans="2:2" ht="15.75" customHeight="1" x14ac:dyDescent="0.3">
      <c r="B821" s="35"/>
    </row>
    <row r="822" spans="2:2" ht="15.75" customHeight="1" x14ac:dyDescent="0.3">
      <c r="B822" s="35"/>
    </row>
    <row r="823" spans="2:2" ht="15.75" customHeight="1" x14ac:dyDescent="0.3">
      <c r="B823" s="35"/>
    </row>
    <row r="824" spans="2:2" ht="15.75" customHeight="1" x14ac:dyDescent="0.3">
      <c r="B824" s="35"/>
    </row>
    <row r="825" spans="2:2" ht="15.75" customHeight="1" x14ac:dyDescent="0.3">
      <c r="B825" s="35"/>
    </row>
    <row r="826" spans="2:2" ht="15.75" customHeight="1" x14ac:dyDescent="0.3">
      <c r="B826" s="35"/>
    </row>
    <row r="827" spans="2:2" ht="15.75" customHeight="1" x14ac:dyDescent="0.3">
      <c r="B827" s="35"/>
    </row>
    <row r="828" spans="2:2" ht="15.75" customHeight="1" x14ac:dyDescent="0.3">
      <c r="B828" s="35"/>
    </row>
    <row r="829" spans="2:2" ht="15.75" customHeight="1" x14ac:dyDescent="0.3">
      <c r="B829" s="35"/>
    </row>
    <row r="830" spans="2:2" ht="15.75" customHeight="1" x14ac:dyDescent="0.3">
      <c r="B830" s="35"/>
    </row>
    <row r="831" spans="2:2" ht="15.75" customHeight="1" x14ac:dyDescent="0.3">
      <c r="B831" s="35"/>
    </row>
    <row r="832" spans="2:2" ht="15.75" customHeight="1" x14ac:dyDescent="0.3">
      <c r="B832" s="35"/>
    </row>
    <row r="833" spans="2:2" ht="15.75" customHeight="1" x14ac:dyDescent="0.3">
      <c r="B833" s="35"/>
    </row>
    <row r="834" spans="2:2" ht="15.75" customHeight="1" x14ac:dyDescent="0.3">
      <c r="B834" s="35"/>
    </row>
    <row r="835" spans="2:2" ht="15.75" customHeight="1" x14ac:dyDescent="0.3">
      <c r="B835" s="35"/>
    </row>
    <row r="836" spans="2:2" ht="15.75" customHeight="1" x14ac:dyDescent="0.3">
      <c r="B836" s="35"/>
    </row>
    <row r="837" spans="2:2" ht="15.75" customHeight="1" x14ac:dyDescent="0.3">
      <c r="B837" s="35"/>
    </row>
    <row r="838" spans="2:2" ht="15.75" customHeight="1" x14ac:dyDescent="0.3">
      <c r="B838" s="35"/>
    </row>
    <row r="839" spans="2:2" ht="15.75" customHeight="1" x14ac:dyDescent="0.3">
      <c r="B839" s="35"/>
    </row>
    <row r="840" spans="2:2" ht="15.75" customHeight="1" x14ac:dyDescent="0.3">
      <c r="B840" s="35"/>
    </row>
    <row r="841" spans="2:2" ht="15.75" customHeight="1" x14ac:dyDescent="0.3">
      <c r="B841" s="35"/>
    </row>
    <row r="842" spans="2:2" ht="15.75" customHeight="1" x14ac:dyDescent="0.3">
      <c r="B842" s="35"/>
    </row>
    <row r="843" spans="2:2" ht="15.75" customHeight="1" x14ac:dyDescent="0.3">
      <c r="B843" s="35"/>
    </row>
    <row r="844" spans="2:2" ht="15.75" customHeight="1" x14ac:dyDescent="0.3">
      <c r="B844" s="35"/>
    </row>
    <row r="845" spans="2:2" ht="15.75" customHeight="1" x14ac:dyDescent="0.3">
      <c r="B845" s="35"/>
    </row>
    <row r="846" spans="2:2" ht="15.75" customHeight="1" x14ac:dyDescent="0.3">
      <c r="B846" s="35"/>
    </row>
    <row r="847" spans="2:2" ht="15.75" customHeight="1" x14ac:dyDescent="0.3">
      <c r="B847" s="35"/>
    </row>
    <row r="848" spans="2:2" ht="15.75" customHeight="1" x14ac:dyDescent="0.3">
      <c r="B848" s="35"/>
    </row>
    <row r="849" spans="2:2" ht="15.75" customHeight="1" x14ac:dyDescent="0.3">
      <c r="B849" s="35"/>
    </row>
    <row r="850" spans="2:2" ht="15.75" customHeight="1" x14ac:dyDescent="0.3">
      <c r="B850" s="35"/>
    </row>
    <row r="851" spans="2:2" ht="15.75" customHeight="1" x14ac:dyDescent="0.3">
      <c r="B851" s="35"/>
    </row>
    <row r="852" spans="2:2" ht="15.75" customHeight="1" x14ac:dyDescent="0.3">
      <c r="B852" s="35"/>
    </row>
    <row r="853" spans="2:2" ht="15.75" customHeight="1" x14ac:dyDescent="0.3">
      <c r="B853" s="35"/>
    </row>
    <row r="854" spans="2:2" ht="15.75" customHeight="1" x14ac:dyDescent="0.3">
      <c r="B854" s="35"/>
    </row>
    <row r="855" spans="2:2" ht="15.75" customHeight="1" x14ac:dyDescent="0.3">
      <c r="B855" s="35"/>
    </row>
    <row r="856" spans="2:2" ht="15.75" customHeight="1" x14ac:dyDescent="0.3">
      <c r="B856" s="35"/>
    </row>
    <row r="857" spans="2:2" ht="15.75" customHeight="1" x14ac:dyDescent="0.3">
      <c r="B857" s="35"/>
    </row>
    <row r="858" spans="2:2" ht="15.75" customHeight="1" x14ac:dyDescent="0.3">
      <c r="B858" s="35"/>
    </row>
    <row r="859" spans="2:2" ht="15.75" customHeight="1" x14ac:dyDescent="0.3">
      <c r="B859" s="35"/>
    </row>
    <row r="860" spans="2:2" ht="15.75" customHeight="1" x14ac:dyDescent="0.3">
      <c r="B860" s="35"/>
    </row>
    <row r="861" spans="2:2" ht="15.75" customHeight="1" x14ac:dyDescent="0.3">
      <c r="B861" s="35"/>
    </row>
    <row r="862" spans="2:2" ht="15.75" customHeight="1" x14ac:dyDescent="0.3">
      <c r="B862" s="35"/>
    </row>
    <row r="863" spans="2:2" ht="15.75" customHeight="1" x14ac:dyDescent="0.3">
      <c r="B863" s="35"/>
    </row>
    <row r="864" spans="2:2" ht="15.75" customHeight="1" x14ac:dyDescent="0.3">
      <c r="B864" s="35"/>
    </row>
    <row r="865" spans="2:2" ht="15.75" customHeight="1" x14ac:dyDescent="0.3">
      <c r="B865" s="35"/>
    </row>
    <row r="866" spans="2:2" ht="15.75" customHeight="1" x14ac:dyDescent="0.3">
      <c r="B866" s="35"/>
    </row>
    <row r="867" spans="2:2" ht="15.75" customHeight="1" x14ac:dyDescent="0.3">
      <c r="B867" s="35"/>
    </row>
    <row r="868" spans="2:2" ht="15.75" customHeight="1" x14ac:dyDescent="0.3">
      <c r="B868" s="35"/>
    </row>
    <row r="869" spans="2:2" ht="15.75" customHeight="1" x14ac:dyDescent="0.3">
      <c r="B869" s="35"/>
    </row>
    <row r="870" spans="2:2" ht="15.75" customHeight="1" x14ac:dyDescent="0.3">
      <c r="B870" s="35"/>
    </row>
    <row r="871" spans="2:2" ht="15.75" customHeight="1" x14ac:dyDescent="0.3">
      <c r="B871" s="35"/>
    </row>
    <row r="872" spans="2:2" ht="15.75" customHeight="1" x14ac:dyDescent="0.3">
      <c r="B872" s="35"/>
    </row>
    <row r="873" spans="2:2" ht="15.75" customHeight="1" x14ac:dyDescent="0.3">
      <c r="B873" s="35"/>
    </row>
    <row r="874" spans="2:2" ht="15.75" customHeight="1" x14ac:dyDescent="0.3">
      <c r="B874" s="35"/>
    </row>
    <row r="875" spans="2:2" ht="15.75" customHeight="1" x14ac:dyDescent="0.3">
      <c r="B875" s="35"/>
    </row>
    <row r="876" spans="2:2" ht="15.75" customHeight="1" x14ac:dyDescent="0.3">
      <c r="B876" s="35"/>
    </row>
    <row r="877" spans="2:2" ht="15.75" customHeight="1" x14ac:dyDescent="0.3">
      <c r="B877" s="35"/>
    </row>
    <row r="878" spans="2:2" ht="15.75" customHeight="1" x14ac:dyDescent="0.3">
      <c r="B878" s="35"/>
    </row>
    <row r="879" spans="2:2" ht="15.75" customHeight="1" x14ac:dyDescent="0.3">
      <c r="B879" s="35"/>
    </row>
    <row r="880" spans="2:2" ht="15.75" customHeight="1" x14ac:dyDescent="0.3">
      <c r="B880" s="35"/>
    </row>
    <row r="881" spans="2:2" ht="15.75" customHeight="1" x14ac:dyDescent="0.3">
      <c r="B881" s="35"/>
    </row>
    <row r="882" spans="2:2" ht="15.75" customHeight="1" x14ac:dyDescent="0.3">
      <c r="B882" s="35"/>
    </row>
    <row r="883" spans="2:2" ht="15.75" customHeight="1" x14ac:dyDescent="0.3">
      <c r="B883" s="35"/>
    </row>
    <row r="884" spans="2:2" ht="15.75" customHeight="1" x14ac:dyDescent="0.3">
      <c r="B884" s="35"/>
    </row>
    <row r="885" spans="2:2" ht="15.75" customHeight="1" x14ac:dyDescent="0.3">
      <c r="B885" s="35"/>
    </row>
    <row r="886" spans="2:2" ht="15.75" customHeight="1" x14ac:dyDescent="0.3">
      <c r="B886" s="35"/>
    </row>
    <row r="887" spans="2:2" ht="15.75" customHeight="1" x14ac:dyDescent="0.3">
      <c r="B887" s="35"/>
    </row>
    <row r="888" spans="2:2" ht="15.75" customHeight="1" x14ac:dyDescent="0.3">
      <c r="B888" s="35"/>
    </row>
    <row r="889" spans="2:2" ht="15.75" customHeight="1" x14ac:dyDescent="0.3">
      <c r="B889" s="35"/>
    </row>
    <row r="890" spans="2:2" ht="15.75" customHeight="1" x14ac:dyDescent="0.3">
      <c r="B890" s="35"/>
    </row>
    <row r="891" spans="2:2" ht="15.75" customHeight="1" x14ac:dyDescent="0.3">
      <c r="B891" s="35"/>
    </row>
    <row r="892" spans="2:2" ht="15.75" customHeight="1" x14ac:dyDescent="0.3">
      <c r="B892" s="35"/>
    </row>
    <row r="893" spans="2:2" ht="15.75" customHeight="1" x14ac:dyDescent="0.3">
      <c r="B893" s="35"/>
    </row>
    <row r="894" spans="2:2" ht="15.75" customHeight="1" x14ac:dyDescent="0.3">
      <c r="B894" s="35"/>
    </row>
    <row r="895" spans="2:2" ht="15.75" customHeight="1" x14ac:dyDescent="0.3">
      <c r="B895" s="35"/>
    </row>
    <row r="896" spans="2:2" ht="15.75" customHeight="1" x14ac:dyDescent="0.3">
      <c r="B896" s="35"/>
    </row>
    <row r="897" spans="2:2" ht="15.75" customHeight="1" x14ac:dyDescent="0.3">
      <c r="B897" s="35"/>
    </row>
    <row r="898" spans="2:2" ht="15.75" customHeight="1" x14ac:dyDescent="0.3">
      <c r="B898" s="35"/>
    </row>
    <row r="899" spans="2:2" ht="15.75" customHeight="1" x14ac:dyDescent="0.3">
      <c r="B899" s="35"/>
    </row>
    <row r="900" spans="2:2" ht="15.75" customHeight="1" x14ac:dyDescent="0.3">
      <c r="B900" s="35"/>
    </row>
    <row r="901" spans="2:2" ht="15.75" customHeight="1" x14ac:dyDescent="0.3">
      <c r="B901" s="35"/>
    </row>
    <row r="902" spans="2:2" ht="15.75" customHeight="1" x14ac:dyDescent="0.3">
      <c r="B902" s="35"/>
    </row>
    <row r="903" spans="2:2" ht="15.75" customHeight="1" x14ac:dyDescent="0.3">
      <c r="B903" s="35"/>
    </row>
    <row r="904" spans="2:2" ht="15.75" customHeight="1" x14ac:dyDescent="0.3">
      <c r="B904" s="35"/>
    </row>
    <row r="905" spans="2:2" ht="15.75" customHeight="1" x14ac:dyDescent="0.3">
      <c r="B905" s="35"/>
    </row>
    <row r="906" spans="2:2" ht="15.75" customHeight="1" x14ac:dyDescent="0.3">
      <c r="B906" s="35"/>
    </row>
    <row r="907" spans="2:2" ht="15.75" customHeight="1" x14ac:dyDescent="0.3">
      <c r="B907" s="35"/>
    </row>
    <row r="908" spans="2:2" ht="15.75" customHeight="1" x14ac:dyDescent="0.3">
      <c r="B908" s="35"/>
    </row>
    <row r="909" spans="2:2" ht="15.75" customHeight="1" x14ac:dyDescent="0.3">
      <c r="B909" s="35"/>
    </row>
    <row r="910" spans="2:2" ht="15.75" customHeight="1" x14ac:dyDescent="0.3">
      <c r="B910" s="35"/>
    </row>
    <row r="911" spans="2:2" ht="15.75" customHeight="1" x14ac:dyDescent="0.3">
      <c r="B911" s="35"/>
    </row>
    <row r="912" spans="2:2" ht="15.75" customHeight="1" x14ac:dyDescent="0.3">
      <c r="B912" s="35"/>
    </row>
    <row r="913" spans="2:2" ht="15.75" customHeight="1" x14ac:dyDescent="0.3">
      <c r="B913" s="35"/>
    </row>
    <row r="914" spans="2:2" ht="15.75" customHeight="1" x14ac:dyDescent="0.3">
      <c r="B914" s="35"/>
    </row>
    <row r="915" spans="2:2" ht="15.75" customHeight="1" x14ac:dyDescent="0.3">
      <c r="B915" s="35"/>
    </row>
    <row r="916" spans="2:2" ht="15.75" customHeight="1" x14ac:dyDescent="0.3">
      <c r="B916" s="35"/>
    </row>
    <row r="917" spans="2:2" ht="15.75" customHeight="1" x14ac:dyDescent="0.3">
      <c r="B917" s="35"/>
    </row>
    <row r="918" spans="2:2" ht="15.75" customHeight="1" x14ac:dyDescent="0.3">
      <c r="B918" s="35"/>
    </row>
    <row r="919" spans="2:2" ht="15.75" customHeight="1" x14ac:dyDescent="0.3">
      <c r="B919" s="35"/>
    </row>
    <row r="920" spans="2:2" ht="15.75" customHeight="1" x14ac:dyDescent="0.3">
      <c r="B920" s="35"/>
    </row>
    <row r="921" spans="2:2" ht="15.75" customHeight="1" x14ac:dyDescent="0.3">
      <c r="B921" s="35"/>
    </row>
    <row r="922" spans="2:2" ht="15.75" customHeight="1" x14ac:dyDescent="0.3">
      <c r="B922" s="35"/>
    </row>
    <row r="923" spans="2:2" ht="15.75" customHeight="1" x14ac:dyDescent="0.3">
      <c r="B923" s="35"/>
    </row>
    <row r="924" spans="2:2" ht="15.75" customHeight="1" x14ac:dyDescent="0.3">
      <c r="B924" s="35"/>
    </row>
    <row r="925" spans="2:2" ht="15.75" customHeight="1" x14ac:dyDescent="0.3">
      <c r="B925" s="35"/>
    </row>
    <row r="926" spans="2:2" ht="15.75" customHeight="1" x14ac:dyDescent="0.3">
      <c r="B926" s="35"/>
    </row>
    <row r="927" spans="2:2" ht="15.75" customHeight="1" x14ac:dyDescent="0.3">
      <c r="B927" s="35"/>
    </row>
    <row r="928" spans="2:2" ht="15.75" customHeight="1" x14ac:dyDescent="0.3">
      <c r="B928" s="35"/>
    </row>
    <row r="929" spans="2:2" ht="15.75" customHeight="1" x14ac:dyDescent="0.3">
      <c r="B929" s="35"/>
    </row>
    <row r="930" spans="2:2" ht="15.75" customHeight="1" x14ac:dyDescent="0.3">
      <c r="B930" s="35"/>
    </row>
    <row r="931" spans="2:2" ht="15.75" customHeight="1" x14ac:dyDescent="0.3">
      <c r="B931" s="35"/>
    </row>
    <row r="932" spans="2:2" ht="15.75" customHeight="1" x14ac:dyDescent="0.3">
      <c r="B932" s="35"/>
    </row>
    <row r="933" spans="2:2" ht="15.75" customHeight="1" x14ac:dyDescent="0.3">
      <c r="B933" s="35"/>
    </row>
    <row r="934" spans="2:2" ht="15.75" customHeight="1" x14ac:dyDescent="0.3">
      <c r="B934" s="35"/>
    </row>
    <row r="935" spans="2:2" ht="15.75" customHeight="1" x14ac:dyDescent="0.3">
      <c r="B935" s="35"/>
    </row>
    <row r="936" spans="2:2" ht="15.75" customHeight="1" x14ac:dyDescent="0.3">
      <c r="B936" s="35"/>
    </row>
    <row r="937" spans="2:2" ht="15.75" customHeight="1" x14ac:dyDescent="0.3">
      <c r="B937" s="35"/>
    </row>
    <row r="938" spans="2:2" ht="15.75" customHeight="1" x14ac:dyDescent="0.3">
      <c r="B938" s="35"/>
    </row>
    <row r="939" spans="2:2" ht="15.75" customHeight="1" x14ac:dyDescent="0.3">
      <c r="B939" s="35"/>
    </row>
    <row r="940" spans="2:2" ht="15.75" customHeight="1" x14ac:dyDescent="0.3">
      <c r="B940" s="35"/>
    </row>
    <row r="941" spans="2:2" ht="15.75" customHeight="1" x14ac:dyDescent="0.3">
      <c r="B941" s="35"/>
    </row>
    <row r="942" spans="2:2" ht="15.75" customHeight="1" x14ac:dyDescent="0.3">
      <c r="B942" s="35"/>
    </row>
    <row r="943" spans="2:2" ht="15.75" customHeight="1" x14ac:dyDescent="0.3">
      <c r="B943" s="35"/>
    </row>
    <row r="944" spans="2:2" ht="15.75" customHeight="1" x14ac:dyDescent="0.3">
      <c r="B944" s="35"/>
    </row>
    <row r="945" spans="2:2" ht="15.75" customHeight="1" x14ac:dyDescent="0.3">
      <c r="B945" s="35"/>
    </row>
    <row r="946" spans="2:2" ht="15.75" customHeight="1" x14ac:dyDescent="0.3">
      <c r="B946" s="35"/>
    </row>
    <row r="947" spans="2:2" ht="15.75" customHeight="1" x14ac:dyDescent="0.3">
      <c r="B947" s="35"/>
    </row>
    <row r="948" spans="2:2" ht="15.75" customHeight="1" x14ac:dyDescent="0.3">
      <c r="B948" s="35"/>
    </row>
    <row r="949" spans="2:2" ht="15.75" customHeight="1" x14ac:dyDescent="0.3">
      <c r="B949" s="35"/>
    </row>
    <row r="950" spans="2:2" ht="15.75" customHeight="1" x14ac:dyDescent="0.3">
      <c r="B950" s="35"/>
    </row>
    <row r="951" spans="2:2" ht="15.75" customHeight="1" x14ac:dyDescent="0.3">
      <c r="B951" s="35"/>
    </row>
    <row r="952" spans="2:2" ht="15.75" customHeight="1" x14ac:dyDescent="0.3">
      <c r="B952" s="35"/>
    </row>
    <row r="953" spans="2:2" ht="15.75" customHeight="1" x14ac:dyDescent="0.3">
      <c r="B953" s="35"/>
    </row>
    <row r="954" spans="2:2" ht="15.75" customHeight="1" x14ac:dyDescent="0.3">
      <c r="B954" s="35"/>
    </row>
    <row r="955" spans="2:2" ht="15.75" customHeight="1" x14ac:dyDescent="0.3">
      <c r="B955" s="35"/>
    </row>
    <row r="956" spans="2:2" ht="15.75" customHeight="1" x14ac:dyDescent="0.3">
      <c r="B956" s="35"/>
    </row>
    <row r="957" spans="2:2" ht="15.75" customHeight="1" x14ac:dyDescent="0.3">
      <c r="B957" s="35"/>
    </row>
    <row r="958" spans="2:2" ht="15.75" customHeight="1" x14ac:dyDescent="0.3">
      <c r="B958" s="35"/>
    </row>
    <row r="959" spans="2:2" ht="15.75" customHeight="1" x14ac:dyDescent="0.3">
      <c r="B959" s="35"/>
    </row>
    <row r="960" spans="2:2" ht="15.75" customHeight="1" x14ac:dyDescent="0.3">
      <c r="B960" s="35"/>
    </row>
    <row r="961" spans="2:2" ht="15.75" customHeight="1" x14ac:dyDescent="0.3">
      <c r="B961" s="35"/>
    </row>
    <row r="962" spans="2:2" ht="15.75" customHeight="1" x14ac:dyDescent="0.3">
      <c r="B962" s="35"/>
    </row>
    <row r="963" spans="2:2" ht="15.75" customHeight="1" x14ac:dyDescent="0.3">
      <c r="B963" s="35"/>
    </row>
    <row r="964" spans="2:2" ht="15.75" customHeight="1" x14ac:dyDescent="0.3">
      <c r="B964" s="35"/>
    </row>
    <row r="965" spans="2:2" ht="15.75" customHeight="1" x14ac:dyDescent="0.3">
      <c r="B965" s="35"/>
    </row>
    <row r="966" spans="2:2" ht="15.75" customHeight="1" x14ac:dyDescent="0.3">
      <c r="B966" s="35"/>
    </row>
    <row r="967" spans="2:2" ht="15.75" customHeight="1" x14ac:dyDescent="0.3">
      <c r="B967" s="35"/>
    </row>
    <row r="968" spans="2:2" ht="15.75" customHeight="1" x14ac:dyDescent="0.3">
      <c r="B968" s="35"/>
    </row>
    <row r="969" spans="2:2" ht="15.75" customHeight="1" x14ac:dyDescent="0.3">
      <c r="B969" s="35"/>
    </row>
    <row r="970" spans="2:2" ht="15.75" customHeight="1" x14ac:dyDescent="0.3">
      <c r="B970" s="35"/>
    </row>
    <row r="971" spans="2:2" ht="15.75" customHeight="1" x14ac:dyDescent="0.3">
      <c r="B971" s="35"/>
    </row>
    <row r="972" spans="2:2" ht="15.75" customHeight="1" x14ac:dyDescent="0.3">
      <c r="B972" s="35"/>
    </row>
    <row r="973" spans="2:2" ht="15.75" customHeight="1" x14ac:dyDescent="0.3">
      <c r="B973" s="35"/>
    </row>
    <row r="974" spans="2:2" ht="15.75" customHeight="1" x14ac:dyDescent="0.3">
      <c r="B974" s="35"/>
    </row>
    <row r="975" spans="2:2" ht="15.75" customHeight="1" x14ac:dyDescent="0.3">
      <c r="B975" s="35"/>
    </row>
    <row r="976" spans="2:2" ht="15.75" customHeight="1" x14ac:dyDescent="0.3">
      <c r="B976" s="35"/>
    </row>
    <row r="977" spans="2:2" ht="15.75" customHeight="1" x14ac:dyDescent="0.3">
      <c r="B977" s="35"/>
    </row>
    <row r="978" spans="2:2" ht="15.75" customHeight="1" x14ac:dyDescent="0.3">
      <c r="B978" s="35"/>
    </row>
    <row r="979" spans="2:2" ht="15.75" customHeight="1" x14ac:dyDescent="0.3">
      <c r="B979" s="35"/>
    </row>
    <row r="980" spans="2:2" ht="15.75" customHeight="1" x14ac:dyDescent="0.3">
      <c r="B980" s="35"/>
    </row>
    <row r="981" spans="2:2" ht="15.75" customHeight="1" x14ac:dyDescent="0.3">
      <c r="B981" s="35"/>
    </row>
    <row r="982" spans="2:2" ht="15.75" customHeight="1" x14ac:dyDescent="0.3">
      <c r="B982" s="35"/>
    </row>
    <row r="983" spans="2:2" ht="15.75" customHeight="1" x14ac:dyDescent="0.3">
      <c r="B983" s="35"/>
    </row>
    <row r="984" spans="2:2" ht="15.75" customHeight="1" x14ac:dyDescent="0.3">
      <c r="B984" s="35"/>
    </row>
    <row r="985" spans="2:2" ht="15.75" customHeight="1" x14ac:dyDescent="0.3">
      <c r="B985" s="35"/>
    </row>
    <row r="986" spans="2:2" ht="15.75" customHeight="1" x14ac:dyDescent="0.3">
      <c r="B986" s="35"/>
    </row>
    <row r="987" spans="2:2" ht="15.75" customHeight="1" x14ac:dyDescent="0.3">
      <c r="B987" s="35"/>
    </row>
    <row r="988" spans="2:2" ht="15.75" customHeight="1" x14ac:dyDescent="0.3">
      <c r="B988" s="35"/>
    </row>
    <row r="989" spans="2:2" ht="15.75" customHeight="1" x14ac:dyDescent="0.3">
      <c r="B989" s="35"/>
    </row>
    <row r="990" spans="2:2" ht="15.75" customHeight="1" x14ac:dyDescent="0.3">
      <c r="B990" s="35"/>
    </row>
    <row r="991" spans="2:2" ht="15.75" customHeight="1" x14ac:dyDescent="0.3">
      <c r="B991" s="35"/>
    </row>
    <row r="992" spans="2:2" ht="15.75" customHeight="1" x14ac:dyDescent="0.3">
      <c r="B992" s="35"/>
    </row>
    <row r="993" spans="2:2" ht="15.75" customHeight="1" x14ac:dyDescent="0.3">
      <c r="B993" s="35"/>
    </row>
    <row r="994" spans="2:2" ht="15.75" customHeight="1" x14ac:dyDescent="0.3">
      <c r="B994" s="35"/>
    </row>
    <row r="995" spans="2:2" ht="15.75" customHeight="1" x14ac:dyDescent="0.3">
      <c r="B995" s="35"/>
    </row>
    <row r="996" spans="2:2" ht="15.75" customHeight="1" x14ac:dyDescent="0.3">
      <c r="B996" s="35"/>
    </row>
    <row r="997" spans="2:2" ht="15.75" customHeight="1" x14ac:dyDescent="0.3">
      <c r="B997" s="35"/>
    </row>
    <row r="998" spans="2:2" ht="15.75" customHeight="1" x14ac:dyDescent="0.3">
      <c r="B998" s="35"/>
    </row>
    <row r="999" spans="2:2" ht="15.75" customHeight="1" x14ac:dyDescent="0.3">
      <c r="B999" s="35"/>
    </row>
    <row r="1000" spans="2:2" ht="15.75" customHeight="1" x14ac:dyDescent="0.3">
      <c r="B1000" s="35"/>
    </row>
  </sheetData>
  <mergeCells count="12">
    <mergeCell ref="C10:J10"/>
    <mergeCell ref="A12:A13"/>
    <mergeCell ref="B12:B13"/>
    <mergeCell ref="C12:C13"/>
    <mergeCell ref="D12:M12"/>
    <mergeCell ref="C8:J8"/>
    <mergeCell ref="C9:J9"/>
    <mergeCell ref="A1:M1"/>
    <mergeCell ref="A2:M2"/>
    <mergeCell ref="A3:M3"/>
    <mergeCell ref="A4:M5"/>
    <mergeCell ref="C7:J7"/>
  </mergeCells>
  <printOptions horizontalCentered="1"/>
  <pageMargins left="0.7" right="0.7" top="0.75" bottom="0.75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topLeftCell="A4" zoomScale="81" zoomScaleNormal="70" workbookViewId="0">
      <selection activeCell="M62" sqref="M62"/>
    </sheetView>
  </sheetViews>
  <sheetFormatPr defaultColWidth="12.58203125" defaultRowHeight="15" customHeight="1" x14ac:dyDescent="0.3"/>
  <cols>
    <col min="1" max="1" width="4.5" customWidth="1"/>
    <col min="2" max="2" width="17.83203125" customWidth="1"/>
    <col min="3" max="3" width="41.75" customWidth="1"/>
    <col min="4" max="4" width="10.5" customWidth="1"/>
    <col min="5" max="5" width="11.25" customWidth="1"/>
    <col min="6" max="6" width="18.5" customWidth="1"/>
    <col min="7" max="13" width="10.75" customWidth="1"/>
    <col min="14" max="14" width="7.75" customWidth="1"/>
    <col min="15" max="15" width="8.5" customWidth="1"/>
    <col min="16" max="16" width="7.75" customWidth="1"/>
    <col min="17" max="17" width="16.25" customWidth="1"/>
    <col min="18" max="27" width="12" customWidth="1"/>
  </cols>
  <sheetData>
    <row r="1" spans="1:19" ht="18.75" customHeight="1" x14ac:dyDescent="0.45">
      <c r="A1" s="142" t="s">
        <v>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9" ht="18.75" customHeight="1" x14ac:dyDescent="0.45">
      <c r="A2" s="142" t="s">
        <v>37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9" ht="18.75" customHeight="1" x14ac:dyDescent="0.45">
      <c r="A3" s="142" t="s">
        <v>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</row>
    <row r="4" spans="1:19" ht="18.5" x14ac:dyDescent="0.45">
      <c r="A4" s="40"/>
      <c r="B4" s="25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  <c r="O4" s="40"/>
    </row>
    <row r="5" spans="1:19" ht="14.5" x14ac:dyDescent="0.3">
      <c r="N5" s="42"/>
    </row>
    <row r="6" spans="1:19" ht="14.5" x14ac:dyDescent="0.35">
      <c r="A6" s="43"/>
      <c r="B6" s="2" t="s">
        <v>3</v>
      </c>
      <c r="C6" s="3" t="s">
        <v>4</v>
      </c>
      <c r="D6" s="1"/>
      <c r="E6" s="1"/>
      <c r="F6" s="44" t="s">
        <v>38</v>
      </c>
      <c r="G6" s="44" t="s">
        <v>39</v>
      </c>
      <c r="H6" s="44"/>
      <c r="I6" s="45">
        <v>1</v>
      </c>
      <c r="J6" s="46"/>
      <c r="K6" s="143" t="s">
        <v>40</v>
      </c>
      <c r="L6" s="108"/>
      <c r="M6" s="47" t="s">
        <v>39</v>
      </c>
      <c r="N6" s="48">
        <v>8</v>
      </c>
    </row>
    <row r="7" spans="1:19" ht="14.5" x14ac:dyDescent="0.35">
      <c r="A7" s="43"/>
      <c r="B7" s="1" t="s">
        <v>6</v>
      </c>
      <c r="C7" s="87" t="s">
        <v>113</v>
      </c>
      <c r="D7" s="1"/>
      <c r="E7" s="1"/>
      <c r="F7" s="144" t="s">
        <v>41</v>
      </c>
      <c r="G7" s="112"/>
      <c r="H7" s="145"/>
      <c r="I7" s="108"/>
    </row>
    <row r="8" spans="1:19" ht="14.5" x14ac:dyDescent="0.35">
      <c r="A8" s="43"/>
      <c r="B8" s="1" t="s">
        <v>8</v>
      </c>
      <c r="C8" s="87" t="s">
        <v>114</v>
      </c>
      <c r="D8" s="1"/>
      <c r="E8" s="1"/>
      <c r="F8" s="49" t="s">
        <v>42</v>
      </c>
      <c r="G8" s="49" t="s">
        <v>39</v>
      </c>
      <c r="H8" s="49"/>
      <c r="I8" s="50">
        <v>0.1</v>
      </c>
      <c r="J8" s="123" t="s">
        <v>43</v>
      </c>
      <c r="K8" s="124"/>
      <c r="L8" s="124"/>
      <c r="M8" s="124"/>
      <c r="N8" s="125"/>
    </row>
    <row r="9" spans="1:19" ht="14.5" x14ac:dyDescent="0.35">
      <c r="A9" s="43"/>
      <c r="B9" s="1" t="s">
        <v>9</v>
      </c>
      <c r="C9" s="87" t="s">
        <v>115</v>
      </c>
      <c r="D9" s="1"/>
      <c r="E9" s="1"/>
      <c r="F9" s="51" t="s">
        <v>44</v>
      </c>
      <c r="G9" s="51" t="s">
        <v>39</v>
      </c>
      <c r="H9" s="51"/>
      <c r="I9" s="52">
        <v>0.5</v>
      </c>
      <c r="J9" s="126"/>
      <c r="K9" s="110"/>
      <c r="L9" s="110"/>
      <c r="M9" s="110"/>
      <c r="N9" s="127"/>
    </row>
    <row r="10" spans="1:19" ht="14.5" x14ac:dyDescent="0.35">
      <c r="A10" s="43"/>
      <c r="B10" s="1"/>
      <c r="C10" s="7"/>
      <c r="D10" s="1"/>
      <c r="E10" s="1"/>
      <c r="F10" s="51" t="s">
        <v>45</v>
      </c>
      <c r="G10" s="51" t="s">
        <v>39</v>
      </c>
      <c r="H10" s="51"/>
      <c r="I10" s="52">
        <v>0.4</v>
      </c>
      <c r="J10" s="128"/>
      <c r="K10" s="129"/>
      <c r="L10" s="129"/>
      <c r="M10" s="129"/>
      <c r="N10" s="130"/>
    </row>
    <row r="11" spans="1:19" ht="14.5" x14ac:dyDescent="0.35">
      <c r="A11" s="53"/>
      <c r="B11" s="54"/>
      <c r="C11" s="55"/>
      <c r="D11" s="46"/>
      <c r="E11" s="46"/>
      <c r="F11" s="56"/>
      <c r="G11" s="57"/>
      <c r="H11" s="81"/>
      <c r="I11" s="46"/>
    </row>
    <row r="12" spans="1:19" ht="14.25" customHeight="1" x14ac:dyDescent="0.3">
      <c r="A12" s="131" t="s">
        <v>46</v>
      </c>
      <c r="B12" s="134" t="s">
        <v>30</v>
      </c>
      <c r="C12" s="134" t="s">
        <v>31</v>
      </c>
      <c r="D12" s="135" t="s">
        <v>33</v>
      </c>
      <c r="E12" s="135" t="s">
        <v>47</v>
      </c>
      <c r="F12" s="134" t="s">
        <v>34</v>
      </c>
      <c r="G12" s="136" t="s">
        <v>48</v>
      </c>
      <c r="H12" s="137"/>
      <c r="I12" s="137"/>
      <c r="J12" s="137"/>
      <c r="K12" s="137"/>
      <c r="L12" s="137"/>
      <c r="M12" s="138"/>
      <c r="N12" s="139" t="s">
        <v>49</v>
      </c>
      <c r="O12" s="140" t="s">
        <v>45</v>
      </c>
      <c r="P12" s="132" t="s">
        <v>50</v>
      </c>
      <c r="Q12" s="132" t="s">
        <v>51</v>
      </c>
      <c r="R12" s="121" t="s">
        <v>52</v>
      </c>
      <c r="S12" s="121" t="s">
        <v>53</v>
      </c>
    </row>
    <row r="13" spans="1:19" ht="28.5" customHeight="1" x14ac:dyDescent="0.3">
      <c r="A13" s="119"/>
      <c r="B13" s="106"/>
      <c r="C13" s="106"/>
      <c r="D13" s="119"/>
      <c r="E13" s="119"/>
      <c r="F13" s="119"/>
      <c r="G13" s="58" t="s">
        <v>54</v>
      </c>
      <c r="H13" s="58" t="s">
        <v>55</v>
      </c>
      <c r="I13" s="58" t="s">
        <v>59</v>
      </c>
      <c r="J13" s="58" t="s">
        <v>60</v>
      </c>
      <c r="K13" s="58" t="s">
        <v>61</v>
      </c>
      <c r="L13" s="58" t="s">
        <v>62</v>
      </c>
      <c r="M13" s="58" t="s">
        <v>57</v>
      </c>
      <c r="N13" s="133"/>
      <c r="O13" s="141"/>
      <c r="P13" s="133"/>
      <c r="Q13" s="133"/>
      <c r="R13" s="122"/>
      <c r="S13" s="122"/>
    </row>
    <row r="14" spans="1:19" ht="15.5" x14ac:dyDescent="0.3">
      <c r="A14" s="73">
        <v>1</v>
      </c>
      <c r="B14" s="104" t="s">
        <v>91</v>
      </c>
      <c r="C14" s="103" t="s">
        <v>63</v>
      </c>
      <c r="D14" s="71">
        <v>8</v>
      </c>
      <c r="E14" s="59">
        <f t="shared" ref="E14:E56" si="0">(D14/$N$6)*$I$8*100</f>
        <v>10</v>
      </c>
      <c r="F14" s="30"/>
      <c r="G14" s="146">
        <v>81</v>
      </c>
      <c r="H14" s="146">
        <v>80</v>
      </c>
      <c r="I14" s="146">
        <v>80</v>
      </c>
      <c r="J14" s="146">
        <v>83</v>
      </c>
      <c r="K14" s="146">
        <v>81</v>
      </c>
      <c r="L14" s="146">
        <v>85</v>
      </c>
      <c r="M14" s="146">
        <v>75</v>
      </c>
      <c r="N14" s="59">
        <f>AVERAGE(G14:M14) * $I$9</f>
        <v>40.357142857142854</v>
      </c>
      <c r="O14" s="146">
        <v>90</v>
      </c>
      <c r="P14" s="59">
        <f t="shared" ref="P14:P53" si="1">O14*$I$10</f>
        <v>36</v>
      </c>
      <c r="Q14" s="60">
        <f>SUM(E14,N14,P14)</f>
        <v>86.357142857142861</v>
      </c>
      <c r="R14" s="84" t="str">
        <f>IF(Q14&gt;80,"A",IF(Q14&gt;75,"A-",IF(Q14&gt;70,"B+",IF(Q14&gt;60,"B",IF(Q14&gt;55,"B-",IF(Q14&gt;50,"C+",IF(Q14&gt;40,"C",IF(Q14&gt;35,"C-",IF(Q14&gt;30,"D","E")))))))))</f>
        <v>A</v>
      </c>
      <c r="S14" s="61" t="str">
        <f t="shared" ref="S14:S53" si="2">IF(R14="A","BAIK SEKALI",IF(R14="A-","BAIK SEKALI",IF(R14="B+","BAIK",IF(R14="B","BAIK",IF(R14="B-","CUKUP BAIK",IF(R14="C+","CUKUP",IF(R14="C","KURANG",IF(R14="C-","KURANG BAIK",IF(R14="D","KURANG SEKALI",IF(R14="E","GAGAL"))))))))))</f>
        <v>BAIK SEKALI</v>
      </c>
    </row>
    <row r="15" spans="1:19" ht="15.5" x14ac:dyDescent="0.3">
      <c r="A15" s="73">
        <v>2</v>
      </c>
      <c r="B15" s="104" t="s">
        <v>92</v>
      </c>
      <c r="C15" s="103" t="s">
        <v>64</v>
      </c>
      <c r="D15" s="71">
        <v>8</v>
      </c>
      <c r="E15" s="59">
        <f t="shared" si="0"/>
        <v>10</v>
      </c>
      <c r="F15" s="32"/>
      <c r="G15" s="147">
        <v>80</v>
      </c>
      <c r="H15" s="146">
        <v>83</v>
      </c>
      <c r="I15" s="146">
        <v>83</v>
      </c>
      <c r="J15" s="146">
        <v>82</v>
      </c>
      <c r="K15" s="146">
        <v>81</v>
      </c>
      <c r="L15" s="146">
        <v>83</v>
      </c>
      <c r="M15" s="146">
        <v>81</v>
      </c>
      <c r="N15" s="59">
        <f>AVERAGE(G15, M15) * $I$9</f>
        <v>40.25</v>
      </c>
      <c r="O15" s="146">
        <v>36</v>
      </c>
      <c r="P15" s="59">
        <f t="shared" si="1"/>
        <v>14.4</v>
      </c>
      <c r="Q15" s="60">
        <f>SUM(E15, N15, P15)</f>
        <v>64.650000000000006</v>
      </c>
      <c r="R15" s="84" t="str">
        <f t="shared" ref="R15:R53" si="3">IF(Q15&gt;80,"A",IF(Q15&gt;75,"A-",IF(Q15&gt;70,"B+",IF(Q15&gt;60,"B",IF(Q15&gt;55,"B-",IF(Q15&gt;50,"C+",IF(Q15&gt;40,"C",IF(Q15&gt;35,"C-",IF(Q15&gt;30,"D","E")))))))))</f>
        <v>B</v>
      </c>
      <c r="S15" s="61" t="str">
        <f t="shared" si="2"/>
        <v>BAIK</v>
      </c>
    </row>
    <row r="16" spans="1:19" ht="15.5" x14ac:dyDescent="0.3">
      <c r="A16" s="73">
        <v>3</v>
      </c>
      <c r="B16" s="104" t="s">
        <v>93</v>
      </c>
      <c r="C16" s="103" t="s">
        <v>65</v>
      </c>
      <c r="D16" s="71">
        <v>3</v>
      </c>
      <c r="E16" s="59">
        <f t="shared" si="0"/>
        <v>3.7500000000000004</v>
      </c>
      <c r="F16" s="151" t="s">
        <v>120</v>
      </c>
      <c r="G16" s="148">
        <v>0</v>
      </c>
      <c r="H16" s="148">
        <v>0</v>
      </c>
      <c r="I16" s="148">
        <v>0</v>
      </c>
      <c r="J16" s="154">
        <v>0</v>
      </c>
      <c r="K16" s="154">
        <v>0</v>
      </c>
      <c r="L16" s="154">
        <v>0</v>
      </c>
      <c r="M16" s="150">
        <v>70</v>
      </c>
      <c r="N16" s="59">
        <f>AVERAGE(G16,M16) * $I$9</f>
        <v>17.5</v>
      </c>
      <c r="O16" s="150">
        <v>45</v>
      </c>
      <c r="P16" s="59">
        <f t="shared" si="1"/>
        <v>18</v>
      </c>
      <c r="Q16" s="60">
        <f>SUM(E16,N16,P16)</f>
        <v>39.25</v>
      </c>
      <c r="R16" s="84" t="str">
        <f t="shared" si="3"/>
        <v>C-</v>
      </c>
      <c r="S16" s="61" t="str">
        <f t="shared" si="2"/>
        <v>KURANG BAIK</v>
      </c>
    </row>
    <row r="17" spans="1:19" ht="15.5" x14ac:dyDescent="0.3">
      <c r="A17" s="73">
        <v>4</v>
      </c>
      <c r="B17" s="104" t="s">
        <v>94</v>
      </c>
      <c r="C17" s="103" t="s">
        <v>66</v>
      </c>
      <c r="D17" s="71">
        <v>8</v>
      </c>
      <c r="E17" s="59">
        <f t="shared" si="0"/>
        <v>10</v>
      </c>
      <c r="F17" s="32"/>
      <c r="G17" s="146">
        <v>82</v>
      </c>
      <c r="H17" s="146">
        <v>83</v>
      </c>
      <c r="I17" s="146">
        <v>81</v>
      </c>
      <c r="J17" s="146">
        <v>83</v>
      </c>
      <c r="K17" s="146">
        <v>80</v>
      </c>
      <c r="L17" s="146">
        <v>81</v>
      </c>
      <c r="M17" s="146">
        <v>78</v>
      </c>
      <c r="N17" s="59">
        <f>AVERAGE(G17, M17) * $I$9</f>
        <v>40</v>
      </c>
      <c r="O17" s="146">
        <v>90</v>
      </c>
      <c r="P17" s="59">
        <f t="shared" si="1"/>
        <v>36</v>
      </c>
      <c r="Q17" s="60">
        <f>SUM(E17, N17, P17)</f>
        <v>86</v>
      </c>
      <c r="R17" s="84" t="str">
        <f t="shared" si="3"/>
        <v>A</v>
      </c>
      <c r="S17" s="61" t="str">
        <f t="shared" si="2"/>
        <v>BAIK SEKALI</v>
      </c>
    </row>
    <row r="18" spans="1:19" ht="15.5" x14ac:dyDescent="0.3">
      <c r="A18" s="73">
        <v>5</v>
      </c>
      <c r="B18" s="104" t="s">
        <v>95</v>
      </c>
      <c r="C18" s="103" t="s">
        <v>67</v>
      </c>
      <c r="D18" s="71">
        <v>7</v>
      </c>
      <c r="E18" s="59">
        <f t="shared" si="0"/>
        <v>8.75</v>
      </c>
      <c r="F18" s="151" t="s">
        <v>119</v>
      </c>
      <c r="G18" s="146">
        <v>78</v>
      </c>
      <c r="H18" s="146">
        <v>70</v>
      </c>
      <c r="I18" s="146">
        <v>74</v>
      </c>
      <c r="J18" s="146">
        <v>75</v>
      </c>
      <c r="K18" s="146">
        <v>77</v>
      </c>
      <c r="L18" s="146">
        <v>80</v>
      </c>
      <c r="M18" s="146">
        <v>78</v>
      </c>
      <c r="N18" s="59">
        <f>AVERAGE(G18,M18) * $I$9</f>
        <v>39</v>
      </c>
      <c r="O18" s="146">
        <v>71</v>
      </c>
      <c r="P18" s="59">
        <f t="shared" si="1"/>
        <v>28.400000000000002</v>
      </c>
      <c r="Q18" s="60">
        <f>SUM(E18,N18,P18)</f>
        <v>76.150000000000006</v>
      </c>
      <c r="R18" s="84" t="str">
        <f t="shared" si="3"/>
        <v>A-</v>
      </c>
      <c r="S18" s="61" t="str">
        <f t="shared" si="2"/>
        <v>BAIK SEKALI</v>
      </c>
    </row>
    <row r="19" spans="1:19" ht="15.5" x14ac:dyDescent="0.3">
      <c r="A19" s="73">
        <v>6</v>
      </c>
      <c r="B19" s="104" t="s">
        <v>96</v>
      </c>
      <c r="C19" s="103" t="s">
        <v>68</v>
      </c>
      <c r="D19" s="71">
        <v>8</v>
      </c>
      <c r="E19" s="59">
        <f t="shared" si="0"/>
        <v>10</v>
      </c>
      <c r="F19" s="32"/>
      <c r="G19" s="146">
        <v>80</v>
      </c>
      <c r="H19" s="146">
        <v>77</v>
      </c>
      <c r="I19" s="146">
        <v>83</v>
      </c>
      <c r="J19" s="146">
        <v>75</v>
      </c>
      <c r="K19" s="146">
        <v>78</v>
      </c>
      <c r="L19" s="146">
        <v>80</v>
      </c>
      <c r="M19" s="146">
        <v>82</v>
      </c>
      <c r="N19" s="59">
        <f>AVERAGE(G19, M19) * $I$9</f>
        <v>40.5</v>
      </c>
      <c r="O19" s="146">
        <v>89</v>
      </c>
      <c r="P19" s="59">
        <f t="shared" si="1"/>
        <v>35.6</v>
      </c>
      <c r="Q19" s="60">
        <f>SUM(E19, N19, P19)</f>
        <v>86.1</v>
      </c>
      <c r="R19" s="84" t="str">
        <f t="shared" si="3"/>
        <v>A</v>
      </c>
      <c r="S19" s="61" t="str">
        <f t="shared" si="2"/>
        <v>BAIK SEKALI</v>
      </c>
    </row>
    <row r="20" spans="1:19" ht="15.75" customHeight="1" x14ac:dyDescent="0.3">
      <c r="A20" s="73">
        <v>7</v>
      </c>
      <c r="B20" s="104" t="s">
        <v>97</v>
      </c>
      <c r="C20" s="103" t="s">
        <v>69</v>
      </c>
      <c r="D20" s="71">
        <v>8</v>
      </c>
      <c r="E20" s="59">
        <f t="shared" si="0"/>
        <v>10</v>
      </c>
      <c r="F20" s="32"/>
      <c r="G20" s="146">
        <v>81</v>
      </c>
      <c r="H20" s="146">
        <v>80</v>
      </c>
      <c r="I20" s="146">
        <v>78</v>
      </c>
      <c r="J20" s="146">
        <v>80</v>
      </c>
      <c r="K20" s="146">
        <v>82</v>
      </c>
      <c r="L20" s="146">
        <v>81</v>
      </c>
      <c r="M20" s="146">
        <v>80</v>
      </c>
      <c r="N20" s="59">
        <f>AVERAGE(G20,M20) * $I$9</f>
        <v>40.25</v>
      </c>
      <c r="O20" s="146">
        <v>65</v>
      </c>
      <c r="P20" s="59">
        <f t="shared" si="1"/>
        <v>26</v>
      </c>
      <c r="Q20" s="60">
        <f>SUM(E20,N20,P20)</f>
        <v>76.25</v>
      </c>
      <c r="R20" s="84" t="str">
        <f t="shared" si="3"/>
        <v>A-</v>
      </c>
      <c r="S20" s="61" t="str">
        <f t="shared" si="2"/>
        <v>BAIK SEKALI</v>
      </c>
    </row>
    <row r="21" spans="1:19" ht="15.75" customHeight="1" x14ac:dyDescent="0.3">
      <c r="A21" s="73">
        <v>8</v>
      </c>
      <c r="B21" s="104" t="s">
        <v>98</v>
      </c>
      <c r="C21" s="103" t="s">
        <v>70</v>
      </c>
      <c r="D21" s="71">
        <v>8</v>
      </c>
      <c r="E21" s="59">
        <f t="shared" si="0"/>
        <v>10</v>
      </c>
      <c r="F21" s="32"/>
      <c r="G21" s="146">
        <v>78</v>
      </c>
      <c r="H21" s="146">
        <v>75</v>
      </c>
      <c r="I21" s="146">
        <v>78</v>
      </c>
      <c r="J21" s="146">
        <v>76</v>
      </c>
      <c r="K21" s="146">
        <v>80</v>
      </c>
      <c r="L21" s="146">
        <v>78</v>
      </c>
      <c r="M21" s="146">
        <v>73</v>
      </c>
      <c r="N21" s="59">
        <f>AVERAGE(G21, M21) * $I$9</f>
        <v>37.75</v>
      </c>
      <c r="O21" s="146">
        <v>28</v>
      </c>
      <c r="P21" s="59">
        <f t="shared" si="1"/>
        <v>11.200000000000001</v>
      </c>
      <c r="Q21" s="60">
        <f>SUM(E21, N21, P21)</f>
        <v>58.95</v>
      </c>
      <c r="R21" s="84" t="str">
        <f t="shared" si="3"/>
        <v>B-</v>
      </c>
      <c r="S21" s="61" t="str">
        <f t="shared" si="2"/>
        <v>CUKUP BAIK</v>
      </c>
    </row>
    <row r="22" spans="1:19" ht="15.75" customHeight="1" x14ac:dyDescent="0.3">
      <c r="A22" s="73">
        <v>9</v>
      </c>
      <c r="B22" s="104" t="s">
        <v>99</v>
      </c>
      <c r="C22" s="103" t="s">
        <v>71</v>
      </c>
      <c r="D22" s="71">
        <v>7</v>
      </c>
      <c r="E22" s="59">
        <f t="shared" si="0"/>
        <v>8.75</v>
      </c>
      <c r="F22" s="151" t="s">
        <v>119</v>
      </c>
      <c r="G22" s="146">
        <v>82</v>
      </c>
      <c r="H22" s="146">
        <v>81</v>
      </c>
      <c r="I22" s="146">
        <v>82</v>
      </c>
      <c r="J22" s="146">
        <v>83</v>
      </c>
      <c r="K22" s="146">
        <v>80</v>
      </c>
      <c r="L22" s="146">
        <v>82</v>
      </c>
      <c r="M22" s="146">
        <v>78</v>
      </c>
      <c r="N22" s="59">
        <f>AVERAGE(G22,M22) * $I$9</f>
        <v>40</v>
      </c>
      <c r="O22" s="146">
        <v>54</v>
      </c>
      <c r="P22" s="59">
        <f t="shared" si="1"/>
        <v>21.6</v>
      </c>
      <c r="Q22" s="60">
        <f>SUM(E22,N22,P22)</f>
        <v>70.349999999999994</v>
      </c>
      <c r="R22" s="84" t="str">
        <f t="shared" si="3"/>
        <v>B+</v>
      </c>
      <c r="S22" s="61" t="str">
        <f t="shared" si="2"/>
        <v>BAIK</v>
      </c>
    </row>
    <row r="23" spans="1:19" ht="15.75" customHeight="1" x14ac:dyDescent="0.3">
      <c r="A23" s="73">
        <v>10</v>
      </c>
      <c r="B23" s="104" t="s">
        <v>100</v>
      </c>
      <c r="C23" s="103" t="s">
        <v>72</v>
      </c>
      <c r="D23" s="71">
        <v>8</v>
      </c>
      <c r="E23" s="59">
        <f t="shared" si="0"/>
        <v>10</v>
      </c>
      <c r="F23" s="32"/>
      <c r="G23" s="146">
        <v>78</v>
      </c>
      <c r="H23" s="146">
        <v>78</v>
      </c>
      <c r="I23" s="146">
        <v>81</v>
      </c>
      <c r="J23" s="146">
        <v>83</v>
      </c>
      <c r="K23" s="146">
        <v>80</v>
      </c>
      <c r="L23" s="146">
        <v>78</v>
      </c>
      <c r="M23" s="146">
        <v>77</v>
      </c>
      <c r="N23" s="59">
        <f>AVERAGE(G23, M23) * $I$9</f>
        <v>38.75</v>
      </c>
      <c r="O23" s="146">
        <v>32</v>
      </c>
      <c r="P23" s="59">
        <f t="shared" si="1"/>
        <v>12.8</v>
      </c>
      <c r="Q23" s="60">
        <f>SUM(E23, N23, P23)</f>
        <v>61.55</v>
      </c>
      <c r="R23" s="84" t="str">
        <f t="shared" si="3"/>
        <v>B</v>
      </c>
      <c r="S23" s="61" t="str">
        <f t="shared" si="2"/>
        <v>BAIK</v>
      </c>
    </row>
    <row r="24" spans="1:19" ht="15.75" customHeight="1" x14ac:dyDescent="0.3">
      <c r="A24" s="73">
        <v>11</v>
      </c>
      <c r="B24" s="104" t="s">
        <v>101</v>
      </c>
      <c r="C24" s="103" t="s">
        <v>73</v>
      </c>
      <c r="D24" s="71">
        <v>8</v>
      </c>
      <c r="E24" s="59">
        <f t="shared" si="0"/>
        <v>10</v>
      </c>
      <c r="F24" s="32"/>
      <c r="G24" s="146">
        <v>79</v>
      </c>
      <c r="H24" s="146">
        <v>78</v>
      </c>
      <c r="I24" s="146">
        <v>80</v>
      </c>
      <c r="J24" s="146">
        <v>83</v>
      </c>
      <c r="K24" s="146">
        <v>81</v>
      </c>
      <c r="L24" s="146">
        <v>79</v>
      </c>
      <c r="M24" s="146">
        <v>79</v>
      </c>
      <c r="N24" s="59">
        <f>AVERAGE(G24,M24) * $I$9</f>
        <v>39.5</v>
      </c>
      <c r="O24" s="146">
        <v>90</v>
      </c>
      <c r="P24" s="59">
        <f t="shared" si="1"/>
        <v>36</v>
      </c>
      <c r="Q24" s="60">
        <f>SUM(E24,N24,P24)</f>
        <v>85.5</v>
      </c>
      <c r="R24" s="84" t="str">
        <f t="shared" si="3"/>
        <v>A</v>
      </c>
      <c r="S24" s="61" t="str">
        <f t="shared" si="2"/>
        <v>BAIK SEKALI</v>
      </c>
    </row>
    <row r="25" spans="1:19" ht="15.75" customHeight="1" x14ac:dyDescent="0.3">
      <c r="A25" s="73">
        <v>12</v>
      </c>
      <c r="B25" s="104" t="s">
        <v>102</v>
      </c>
      <c r="C25" s="103" t="s">
        <v>74</v>
      </c>
      <c r="D25" s="71">
        <v>8</v>
      </c>
      <c r="E25" s="59">
        <f t="shared" si="0"/>
        <v>10</v>
      </c>
      <c r="F25" s="32"/>
      <c r="G25" s="146">
        <v>82</v>
      </c>
      <c r="H25" s="146">
        <v>83</v>
      </c>
      <c r="I25" s="146">
        <v>80</v>
      </c>
      <c r="J25" s="146">
        <v>81</v>
      </c>
      <c r="K25" s="146">
        <v>80</v>
      </c>
      <c r="L25" s="146">
        <v>82</v>
      </c>
      <c r="M25" s="146">
        <v>82</v>
      </c>
      <c r="N25" s="59">
        <f>AVERAGE(G25, M25) * $I$9</f>
        <v>41</v>
      </c>
      <c r="O25" s="146">
        <v>90</v>
      </c>
      <c r="P25" s="59">
        <f t="shared" si="1"/>
        <v>36</v>
      </c>
      <c r="Q25" s="60">
        <f>SUM(E25, N25, P25)</f>
        <v>87</v>
      </c>
      <c r="R25" s="84" t="str">
        <f t="shared" si="3"/>
        <v>A</v>
      </c>
      <c r="S25" s="61" t="str">
        <f t="shared" si="2"/>
        <v>BAIK SEKALI</v>
      </c>
    </row>
    <row r="26" spans="1:19" ht="15.75" customHeight="1" x14ac:dyDescent="0.3">
      <c r="A26" s="73">
        <v>13</v>
      </c>
      <c r="B26" s="104" t="s">
        <v>103</v>
      </c>
      <c r="C26" s="103" t="s">
        <v>75</v>
      </c>
      <c r="D26" s="71">
        <v>8</v>
      </c>
      <c r="E26" s="59">
        <f t="shared" si="0"/>
        <v>10</v>
      </c>
      <c r="F26" s="32"/>
      <c r="G26" s="146">
        <v>81</v>
      </c>
      <c r="H26" s="146">
        <v>83</v>
      </c>
      <c r="I26" s="146">
        <v>82</v>
      </c>
      <c r="J26" s="146">
        <v>82</v>
      </c>
      <c r="K26" s="146">
        <v>81</v>
      </c>
      <c r="L26" s="146">
        <v>81</v>
      </c>
      <c r="M26" s="146">
        <v>80</v>
      </c>
      <c r="N26" s="59">
        <f>AVERAGE(G26,M26) * $I$9</f>
        <v>40.25</v>
      </c>
      <c r="O26" s="146">
        <v>75</v>
      </c>
      <c r="P26" s="59">
        <f t="shared" si="1"/>
        <v>30</v>
      </c>
      <c r="Q26" s="60">
        <f>SUM(E26,N26,P26)</f>
        <v>80.25</v>
      </c>
      <c r="R26" s="84" t="str">
        <f t="shared" si="3"/>
        <v>A</v>
      </c>
      <c r="S26" s="61" t="str">
        <f t="shared" si="2"/>
        <v>BAIK SEKALI</v>
      </c>
    </row>
    <row r="27" spans="1:19" ht="15.75" customHeight="1" x14ac:dyDescent="0.3">
      <c r="A27" s="73">
        <v>14</v>
      </c>
      <c r="B27" s="104" t="s">
        <v>104</v>
      </c>
      <c r="C27" s="103" t="s">
        <v>76</v>
      </c>
      <c r="D27" s="71">
        <v>8</v>
      </c>
      <c r="E27" s="59">
        <f t="shared" si="0"/>
        <v>10</v>
      </c>
      <c r="F27" s="32"/>
      <c r="G27" s="146">
        <v>76</v>
      </c>
      <c r="H27" s="146">
        <v>73</v>
      </c>
      <c r="I27" s="146">
        <v>80</v>
      </c>
      <c r="J27" s="146">
        <v>77</v>
      </c>
      <c r="K27" s="146">
        <v>78</v>
      </c>
      <c r="L27" s="146">
        <v>76</v>
      </c>
      <c r="M27" s="146">
        <v>73</v>
      </c>
      <c r="N27" s="59">
        <f>AVERAGE(G27, M27) * $I$9</f>
        <v>37.25</v>
      </c>
      <c r="O27" s="146">
        <v>90</v>
      </c>
      <c r="P27" s="59">
        <f t="shared" si="1"/>
        <v>36</v>
      </c>
      <c r="Q27" s="60">
        <f>SUM(E27, N27, P27)</f>
        <v>83.25</v>
      </c>
      <c r="R27" s="84" t="str">
        <f t="shared" si="3"/>
        <v>A</v>
      </c>
      <c r="S27" s="61" t="str">
        <f t="shared" si="2"/>
        <v>BAIK SEKALI</v>
      </c>
    </row>
    <row r="28" spans="1:19" ht="15.75" customHeight="1" x14ac:dyDescent="0.3">
      <c r="A28" s="73">
        <v>15</v>
      </c>
      <c r="B28" s="104" t="s">
        <v>105</v>
      </c>
      <c r="C28" s="103" t="s">
        <v>77</v>
      </c>
      <c r="D28" s="71">
        <v>7</v>
      </c>
      <c r="E28" s="59">
        <f t="shared" si="0"/>
        <v>8.75</v>
      </c>
      <c r="F28" s="151" t="s">
        <v>119</v>
      </c>
      <c r="G28" s="146">
        <v>78</v>
      </c>
      <c r="H28" s="146">
        <v>78</v>
      </c>
      <c r="I28" s="146">
        <v>80</v>
      </c>
      <c r="J28" s="146">
        <v>79</v>
      </c>
      <c r="K28" s="146">
        <v>81</v>
      </c>
      <c r="L28" s="146">
        <v>78</v>
      </c>
      <c r="M28" s="146">
        <v>78</v>
      </c>
      <c r="N28" s="59">
        <f>AVERAGE(G28,M28) * $I$9</f>
        <v>39</v>
      </c>
      <c r="O28" s="146">
        <v>31</v>
      </c>
      <c r="P28" s="59">
        <f t="shared" si="1"/>
        <v>12.4</v>
      </c>
      <c r="Q28" s="60">
        <f>SUM(E28,N28,P28)</f>
        <v>60.15</v>
      </c>
      <c r="R28" s="84" t="str">
        <f t="shared" si="3"/>
        <v>B</v>
      </c>
      <c r="S28" s="61" t="str">
        <f t="shared" si="2"/>
        <v>BAIK</v>
      </c>
    </row>
    <row r="29" spans="1:19" ht="15.75" customHeight="1" x14ac:dyDescent="0.3">
      <c r="A29" s="73">
        <v>16</v>
      </c>
      <c r="B29" s="104" t="s">
        <v>106</v>
      </c>
      <c r="C29" s="103" t="s">
        <v>78</v>
      </c>
      <c r="D29" s="71">
        <v>8</v>
      </c>
      <c r="E29" s="59">
        <f t="shared" si="0"/>
        <v>10</v>
      </c>
      <c r="F29" s="32"/>
      <c r="G29" s="146">
        <v>79</v>
      </c>
      <c r="H29" s="146">
        <v>72</v>
      </c>
      <c r="I29" s="146">
        <v>75</v>
      </c>
      <c r="J29" s="146">
        <v>77</v>
      </c>
      <c r="K29" s="146">
        <v>78</v>
      </c>
      <c r="L29" s="146">
        <v>79</v>
      </c>
      <c r="M29" s="146">
        <v>75</v>
      </c>
      <c r="N29" s="59">
        <f>AVERAGE(G29, M29) * $I$9</f>
        <v>38.5</v>
      </c>
      <c r="O29" s="146">
        <v>12</v>
      </c>
      <c r="P29" s="59">
        <f t="shared" si="1"/>
        <v>4.8000000000000007</v>
      </c>
      <c r="Q29" s="60">
        <f>SUM(E29, N29, P29)</f>
        <v>53.3</v>
      </c>
      <c r="R29" s="84" t="str">
        <f t="shared" si="3"/>
        <v>C+</v>
      </c>
      <c r="S29" s="61" t="str">
        <f t="shared" si="2"/>
        <v>CUKUP</v>
      </c>
    </row>
    <row r="30" spans="1:19" ht="15.75" customHeight="1" x14ac:dyDescent="0.3">
      <c r="A30" s="73">
        <v>17</v>
      </c>
      <c r="B30" s="104" t="s">
        <v>107</v>
      </c>
      <c r="C30" s="103" t="s">
        <v>79</v>
      </c>
      <c r="D30" s="71">
        <v>8</v>
      </c>
      <c r="E30" s="59">
        <f t="shared" si="0"/>
        <v>10</v>
      </c>
      <c r="F30" s="32"/>
      <c r="G30" s="146">
        <v>80</v>
      </c>
      <c r="H30" s="146">
        <v>85</v>
      </c>
      <c r="I30" s="146">
        <v>82</v>
      </c>
      <c r="J30" s="146">
        <v>80</v>
      </c>
      <c r="K30" s="146">
        <v>81</v>
      </c>
      <c r="L30" s="146">
        <v>80</v>
      </c>
      <c r="M30" s="146">
        <v>80</v>
      </c>
      <c r="N30" s="59">
        <f>AVERAGE(G30,M30) * $I$9</f>
        <v>40</v>
      </c>
      <c r="O30" s="146">
        <v>90</v>
      </c>
      <c r="P30" s="59">
        <f t="shared" si="1"/>
        <v>36</v>
      </c>
      <c r="Q30" s="60">
        <f>SUM(E30,N30,P30)</f>
        <v>86</v>
      </c>
      <c r="R30" s="84" t="str">
        <f t="shared" si="3"/>
        <v>A</v>
      </c>
      <c r="S30" s="61" t="str">
        <f t="shared" si="2"/>
        <v>BAIK SEKALI</v>
      </c>
    </row>
    <row r="31" spans="1:19" ht="15.75" customHeight="1" x14ac:dyDescent="0.3">
      <c r="A31" s="73">
        <v>18</v>
      </c>
      <c r="B31" s="104" t="s">
        <v>108</v>
      </c>
      <c r="C31" s="103" t="s">
        <v>80</v>
      </c>
      <c r="D31" s="71">
        <v>8</v>
      </c>
      <c r="E31" s="59">
        <f t="shared" si="0"/>
        <v>10</v>
      </c>
      <c r="F31" s="32"/>
      <c r="G31" s="146">
        <v>84</v>
      </c>
      <c r="H31" s="146">
        <v>82</v>
      </c>
      <c r="I31" s="146">
        <v>80</v>
      </c>
      <c r="J31" s="146">
        <v>81</v>
      </c>
      <c r="K31" s="146">
        <v>80</v>
      </c>
      <c r="L31" s="146">
        <v>84</v>
      </c>
      <c r="M31" s="146">
        <v>83</v>
      </c>
      <c r="N31" s="59">
        <f>AVERAGE(G31, M31) * $I$9</f>
        <v>41.75</v>
      </c>
      <c r="O31" s="146">
        <v>90</v>
      </c>
      <c r="P31" s="59">
        <f t="shared" si="1"/>
        <v>36</v>
      </c>
      <c r="Q31" s="60">
        <f>SUM(E31, N31, P31)</f>
        <v>87.75</v>
      </c>
      <c r="R31" s="84" t="str">
        <f t="shared" si="3"/>
        <v>A</v>
      </c>
      <c r="S31" s="61" t="str">
        <f t="shared" si="2"/>
        <v>BAIK SEKALI</v>
      </c>
    </row>
    <row r="32" spans="1:19" ht="15.75" customHeight="1" x14ac:dyDescent="0.3">
      <c r="A32" s="73">
        <v>19</v>
      </c>
      <c r="B32" s="104" t="s">
        <v>109</v>
      </c>
      <c r="C32" s="103" t="s">
        <v>81</v>
      </c>
      <c r="D32" s="71">
        <v>8</v>
      </c>
      <c r="E32" s="59">
        <f t="shared" si="0"/>
        <v>10</v>
      </c>
      <c r="F32" s="32"/>
      <c r="G32" s="146">
        <v>82</v>
      </c>
      <c r="H32" s="146">
        <v>74</v>
      </c>
      <c r="I32" s="146">
        <v>78</v>
      </c>
      <c r="J32" s="146">
        <v>77</v>
      </c>
      <c r="K32" s="146">
        <v>80</v>
      </c>
      <c r="L32" s="146">
        <v>82</v>
      </c>
      <c r="M32" s="146">
        <v>75</v>
      </c>
      <c r="N32" s="59">
        <f>AVERAGE(G32,M32) * $I$9</f>
        <v>39.25</v>
      </c>
      <c r="O32" s="146">
        <v>90</v>
      </c>
      <c r="P32" s="59">
        <f t="shared" si="1"/>
        <v>36</v>
      </c>
      <c r="Q32" s="60">
        <f>SUM(E32,N32,P32)</f>
        <v>85.25</v>
      </c>
      <c r="R32" s="84" t="str">
        <f t="shared" si="3"/>
        <v>A</v>
      </c>
      <c r="S32" s="61" t="str">
        <f t="shared" si="2"/>
        <v>BAIK SEKALI</v>
      </c>
    </row>
    <row r="33" spans="1:19" ht="15.75" customHeight="1" x14ac:dyDescent="0.3">
      <c r="A33" s="73">
        <v>20</v>
      </c>
      <c r="B33" s="104" t="s">
        <v>110</v>
      </c>
      <c r="C33" s="103" t="s">
        <v>82</v>
      </c>
      <c r="D33" s="71">
        <v>8</v>
      </c>
      <c r="E33" s="59">
        <f t="shared" si="0"/>
        <v>10</v>
      </c>
      <c r="F33" s="32"/>
      <c r="G33" s="146">
        <v>82</v>
      </c>
      <c r="H33" s="146">
        <v>83</v>
      </c>
      <c r="I33" s="146">
        <v>80</v>
      </c>
      <c r="J33" s="146">
        <v>81</v>
      </c>
      <c r="K33" s="146">
        <v>84</v>
      </c>
      <c r="L33" s="146">
        <v>82</v>
      </c>
      <c r="M33" s="146">
        <v>81</v>
      </c>
      <c r="N33" s="59">
        <f>AVERAGE(G33, M33) * $I$9</f>
        <v>40.75</v>
      </c>
      <c r="O33" s="146">
        <v>90</v>
      </c>
      <c r="P33" s="59">
        <f t="shared" si="1"/>
        <v>36</v>
      </c>
      <c r="Q33" s="60">
        <f>SUM(E33, N33, P33)</f>
        <v>86.75</v>
      </c>
      <c r="R33" s="84" t="str">
        <f t="shared" si="3"/>
        <v>A</v>
      </c>
      <c r="S33" s="61" t="str">
        <f t="shared" si="2"/>
        <v>BAIK SEKALI</v>
      </c>
    </row>
    <row r="34" spans="1:19" ht="15.75" customHeight="1" x14ac:dyDescent="0.3">
      <c r="A34" s="73">
        <v>21</v>
      </c>
      <c r="B34" s="104" t="s">
        <v>111</v>
      </c>
      <c r="C34" s="103" t="s">
        <v>83</v>
      </c>
      <c r="D34" s="71">
        <v>8</v>
      </c>
      <c r="E34" s="59">
        <f t="shared" si="0"/>
        <v>10</v>
      </c>
      <c r="F34" s="32"/>
      <c r="G34" s="146">
        <v>79</v>
      </c>
      <c r="H34" s="146">
        <v>75</v>
      </c>
      <c r="I34" s="146">
        <v>75</v>
      </c>
      <c r="J34" s="146">
        <v>82</v>
      </c>
      <c r="K34" s="146">
        <v>80</v>
      </c>
      <c r="L34" s="146">
        <v>79</v>
      </c>
      <c r="M34" s="146">
        <v>73</v>
      </c>
      <c r="N34" s="59">
        <f>AVERAGE(G34,M34) * $I$9</f>
        <v>38</v>
      </c>
      <c r="O34" s="146">
        <v>90</v>
      </c>
      <c r="P34" s="59">
        <f t="shared" si="1"/>
        <v>36</v>
      </c>
      <c r="Q34" s="60">
        <f>SUM(E34,N34,P34)</f>
        <v>84</v>
      </c>
      <c r="R34" s="84" t="str">
        <f t="shared" si="3"/>
        <v>A</v>
      </c>
      <c r="S34" s="61" t="str">
        <f t="shared" si="2"/>
        <v>BAIK SEKALI</v>
      </c>
    </row>
    <row r="35" spans="1:19" ht="15.75" customHeight="1" x14ac:dyDescent="0.3">
      <c r="A35" s="73">
        <v>22</v>
      </c>
      <c r="B35" s="104" t="s">
        <v>112</v>
      </c>
      <c r="C35" s="103" t="s">
        <v>84</v>
      </c>
      <c r="D35" s="71">
        <v>8</v>
      </c>
      <c r="E35" s="59">
        <f t="shared" si="0"/>
        <v>10</v>
      </c>
      <c r="F35" s="32"/>
      <c r="G35" s="146">
        <v>80</v>
      </c>
      <c r="H35" s="146">
        <v>83</v>
      </c>
      <c r="I35" s="146">
        <v>81</v>
      </c>
      <c r="J35" s="146">
        <v>81</v>
      </c>
      <c r="K35" s="146">
        <v>80</v>
      </c>
      <c r="L35" s="146">
        <v>80</v>
      </c>
      <c r="M35" s="146">
        <v>82</v>
      </c>
      <c r="N35" s="59">
        <f>AVERAGE(G35, M35) * $I$9</f>
        <v>40.5</v>
      </c>
      <c r="O35" s="146">
        <v>90</v>
      </c>
      <c r="P35" s="59">
        <f t="shared" si="1"/>
        <v>36</v>
      </c>
      <c r="Q35" s="60">
        <f>SUM(E35, N35, P35)</f>
        <v>86.5</v>
      </c>
      <c r="R35" s="84" t="str">
        <f t="shared" si="3"/>
        <v>A</v>
      </c>
      <c r="S35" s="61" t="str">
        <f t="shared" si="2"/>
        <v>BAIK SEKALI</v>
      </c>
    </row>
    <row r="36" spans="1:19" ht="15.75" customHeight="1" x14ac:dyDescent="0.3">
      <c r="A36" s="73">
        <v>23</v>
      </c>
      <c r="B36" s="104">
        <v>233510611</v>
      </c>
      <c r="C36" s="103" t="s">
        <v>85</v>
      </c>
      <c r="D36" s="71">
        <v>7</v>
      </c>
      <c r="E36" s="59">
        <f t="shared" si="0"/>
        <v>8.75</v>
      </c>
      <c r="F36" s="151" t="s">
        <v>119</v>
      </c>
      <c r="G36" s="148">
        <v>0</v>
      </c>
      <c r="H36" s="146">
        <v>72</v>
      </c>
      <c r="I36" s="146">
        <v>83</v>
      </c>
      <c r="J36" s="146">
        <v>77</v>
      </c>
      <c r="K36" s="146">
        <v>80</v>
      </c>
      <c r="L36" s="146">
        <v>81</v>
      </c>
      <c r="M36" s="146">
        <v>80</v>
      </c>
      <c r="N36" s="59">
        <f>AVERAGE(G36,M36) * $I$9</f>
        <v>20</v>
      </c>
      <c r="O36" s="146">
        <v>90</v>
      </c>
      <c r="P36" s="59">
        <f t="shared" si="1"/>
        <v>36</v>
      </c>
      <c r="Q36" s="60">
        <f>SUM(E36,N36,P36)</f>
        <v>64.75</v>
      </c>
      <c r="R36" s="84" t="str">
        <f t="shared" si="3"/>
        <v>B</v>
      </c>
      <c r="S36" s="61" t="str">
        <f t="shared" si="2"/>
        <v>BAIK</v>
      </c>
    </row>
    <row r="37" spans="1:19" ht="15.75" customHeight="1" x14ac:dyDescent="0.3">
      <c r="A37" s="73">
        <v>24</v>
      </c>
      <c r="B37" s="104">
        <v>233510718</v>
      </c>
      <c r="C37" s="103" t="s">
        <v>86</v>
      </c>
      <c r="D37" s="71">
        <v>7</v>
      </c>
      <c r="E37" s="59">
        <f t="shared" si="0"/>
        <v>8.75</v>
      </c>
      <c r="F37" s="151" t="s">
        <v>119</v>
      </c>
      <c r="G37" s="146">
        <v>77</v>
      </c>
      <c r="H37" s="146">
        <v>72</v>
      </c>
      <c r="I37" s="146">
        <v>83</v>
      </c>
      <c r="J37" s="146">
        <v>75</v>
      </c>
      <c r="K37" s="146">
        <v>78</v>
      </c>
      <c r="L37" s="146">
        <v>75</v>
      </c>
      <c r="M37" s="146">
        <v>78</v>
      </c>
      <c r="N37" s="59">
        <f>AVERAGE(G37, M37) * $I$9</f>
        <v>38.75</v>
      </c>
      <c r="O37" s="146">
        <v>90</v>
      </c>
      <c r="P37" s="59">
        <f t="shared" si="1"/>
        <v>36</v>
      </c>
      <c r="Q37" s="60">
        <f>SUM(E37, N37, P37)</f>
        <v>83.5</v>
      </c>
      <c r="R37" s="84" t="str">
        <f t="shared" si="3"/>
        <v>A</v>
      </c>
      <c r="S37" s="61" t="str">
        <f t="shared" si="2"/>
        <v>BAIK SEKALI</v>
      </c>
    </row>
    <row r="38" spans="1:19" ht="15.75" customHeight="1" x14ac:dyDescent="0.3">
      <c r="A38" s="73">
        <v>25</v>
      </c>
      <c r="B38" s="104">
        <v>233510819</v>
      </c>
      <c r="C38" s="103" t="s">
        <v>87</v>
      </c>
      <c r="D38" s="72">
        <v>8</v>
      </c>
      <c r="E38" s="59">
        <f t="shared" si="0"/>
        <v>10</v>
      </c>
      <c r="F38" s="32"/>
      <c r="G38" s="146">
        <v>81</v>
      </c>
      <c r="H38" s="146">
        <v>72</v>
      </c>
      <c r="I38" s="146">
        <v>83</v>
      </c>
      <c r="J38" s="146">
        <v>76</v>
      </c>
      <c r="K38" s="146">
        <v>78</v>
      </c>
      <c r="L38" s="146">
        <v>76</v>
      </c>
      <c r="M38" s="146">
        <v>80</v>
      </c>
      <c r="N38" s="59">
        <f>AVERAGE(G38,M38) * $I$9</f>
        <v>40.25</v>
      </c>
      <c r="O38" s="146">
        <v>90</v>
      </c>
      <c r="P38" s="59">
        <f t="shared" si="1"/>
        <v>36</v>
      </c>
      <c r="Q38" s="60">
        <f>SUM(E38,N38,P38)</f>
        <v>86.25</v>
      </c>
      <c r="R38" s="84" t="str">
        <f t="shared" si="3"/>
        <v>A</v>
      </c>
      <c r="S38" s="61" t="str">
        <f t="shared" si="2"/>
        <v>BAIK SEKALI</v>
      </c>
    </row>
    <row r="39" spans="1:19" ht="15.75" customHeight="1" x14ac:dyDescent="0.3">
      <c r="A39" s="73">
        <v>26</v>
      </c>
      <c r="B39" s="104">
        <v>233510506</v>
      </c>
      <c r="C39" s="103" t="s">
        <v>88</v>
      </c>
      <c r="D39" s="71">
        <v>8</v>
      </c>
      <c r="E39" s="59">
        <f t="shared" si="0"/>
        <v>10</v>
      </c>
      <c r="F39" s="32"/>
      <c r="G39" s="146">
        <v>79</v>
      </c>
      <c r="H39" s="146">
        <v>75</v>
      </c>
      <c r="I39" s="146">
        <v>77</v>
      </c>
      <c r="J39" s="146">
        <v>76</v>
      </c>
      <c r="K39" s="146">
        <v>80</v>
      </c>
      <c r="L39" s="146">
        <v>76</v>
      </c>
      <c r="M39" s="146">
        <v>73</v>
      </c>
      <c r="N39" s="59">
        <f>AVERAGE(G39, M39) * $I$9</f>
        <v>38</v>
      </c>
      <c r="O39" s="146">
        <v>40</v>
      </c>
      <c r="P39" s="59">
        <f t="shared" si="1"/>
        <v>16</v>
      </c>
      <c r="Q39" s="60">
        <f>SUM(E39, N39, P39)</f>
        <v>64</v>
      </c>
      <c r="R39" s="84" t="str">
        <f t="shared" si="3"/>
        <v>B</v>
      </c>
      <c r="S39" s="61" t="str">
        <f t="shared" si="2"/>
        <v>BAIK</v>
      </c>
    </row>
    <row r="40" spans="1:19" ht="15.75" customHeight="1" x14ac:dyDescent="0.3">
      <c r="A40" s="73">
        <v>27</v>
      </c>
      <c r="B40" s="104">
        <v>233510771</v>
      </c>
      <c r="C40" s="103" t="s">
        <v>89</v>
      </c>
      <c r="D40" s="72">
        <v>8</v>
      </c>
      <c r="E40" s="59">
        <f t="shared" si="0"/>
        <v>10</v>
      </c>
      <c r="F40" s="32"/>
      <c r="G40" s="146">
        <v>83</v>
      </c>
      <c r="H40" s="146">
        <v>83</v>
      </c>
      <c r="I40" s="146">
        <v>82</v>
      </c>
      <c r="J40" s="146">
        <v>78</v>
      </c>
      <c r="K40" s="146">
        <v>80</v>
      </c>
      <c r="L40" s="146">
        <v>81</v>
      </c>
      <c r="M40" s="146">
        <v>85</v>
      </c>
      <c r="N40" s="59">
        <f>AVERAGE(G40,M40) * $I$9</f>
        <v>42</v>
      </c>
      <c r="O40" s="146">
        <v>90</v>
      </c>
      <c r="P40" s="59">
        <f t="shared" si="1"/>
        <v>36</v>
      </c>
      <c r="Q40" s="60">
        <f>SUM(E40,N40,P40)</f>
        <v>88</v>
      </c>
      <c r="R40" s="84" t="str">
        <f t="shared" si="3"/>
        <v>A</v>
      </c>
      <c r="S40" s="61" t="str">
        <f t="shared" si="2"/>
        <v>BAIK SEKALI</v>
      </c>
    </row>
    <row r="41" spans="1:19" ht="15.75" customHeight="1" x14ac:dyDescent="0.3">
      <c r="A41" s="73">
        <v>28</v>
      </c>
      <c r="B41" s="69">
        <v>233510483</v>
      </c>
      <c r="C41" s="103" t="s">
        <v>90</v>
      </c>
      <c r="D41" s="71">
        <v>7</v>
      </c>
      <c r="E41" s="59">
        <f t="shared" si="0"/>
        <v>8.75</v>
      </c>
      <c r="F41" s="151" t="s">
        <v>119</v>
      </c>
      <c r="G41" s="148">
        <v>0</v>
      </c>
      <c r="H41" s="148">
        <v>0</v>
      </c>
      <c r="I41" s="149">
        <v>72</v>
      </c>
      <c r="J41" s="149">
        <v>75</v>
      </c>
      <c r="K41" s="149">
        <v>77</v>
      </c>
      <c r="L41" s="149">
        <v>80</v>
      </c>
      <c r="M41" s="149">
        <v>73</v>
      </c>
      <c r="N41" s="59">
        <f>AVERAGE(G41, M41) * $I$9</f>
        <v>18.25</v>
      </c>
      <c r="O41" s="149">
        <v>90</v>
      </c>
      <c r="P41" s="59">
        <f t="shared" si="1"/>
        <v>36</v>
      </c>
      <c r="Q41" s="60">
        <f>SUM(E41, N41, P41)</f>
        <v>63</v>
      </c>
      <c r="R41" s="84" t="str">
        <f t="shared" si="3"/>
        <v>B</v>
      </c>
      <c r="S41" s="61" t="str">
        <f t="shared" si="2"/>
        <v>BAIK</v>
      </c>
    </row>
    <row r="42" spans="1:19" ht="15.75" customHeight="1" x14ac:dyDescent="0.3">
      <c r="A42" s="73">
        <v>29</v>
      </c>
      <c r="B42" s="69"/>
      <c r="C42" s="69"/>
      <c r="D42" s="72"/>
      <c r="E42" s="59">
        <f t="shared" si="0"/>
        <v>0</v>
      </c>
      <c r="F42" s="32"/>
      <c r="G42" s="101"/>
      <c r="H42" s="101"/>
      <c r="I42" s="101"/>
      <c r="J42" s="101"/>
      <c r="K42" s="101"/>
      <c r="L42" s="101"/>
      <c r="M42" s="73"/>
      <c r="N42" s="59" t="e">
        <f>AVERAGE(G42,M42) * $I$9</f>
        <v>#DIV/0!</v>
      </c>
      <c r="O42" s="82"/>
      <c r="P42" s="59">
        <f t="shared" si="1"/>
        <v>0</v>
      </c>
      <c r="Q42" s="60" t="e">
        <f>SUM(E42,N42,P42)</f>
        <v>#DIV/0!</v>
      </c>
      <c r="R42" s="84" t="e">
        <f t="shared" si="3"/>
        <v>#DIV/0!</v>
      </c>
      <c r="S42" s="61" t="e">
        <f t="shared" si="2"/>
        <v>#DIV/0!</v>
      </c>
    </row>
    <row r="43" spans="1:19" ht="15.75" customHeight="1" x14ac:dyDescent="0.3">
      <c r="A43" s="73">
        <v>30</v>
      </c>
      <c r="B43" s="69"/>
      <c r="C43" s="69"/>
      <c r="D43" s="71"/>
      <c r="E43" s="59">
        <f t="shared" si="0"/>
        <v>0</v>
      </c>
      <c r="F43" s="32"/>
      <c r="G43" s="101"/>
      <c r="H43" s="101"/>
      <c r="I43" s="101"/>
      <c r="J43" s="101"/>
      <c r="K43" s="101"/>
      <c r="L43" s="101"/>
      <c r="M43" s="73"/>
      <c r="N43" s="59" t="e">
        <f>AVERAGE(G43, M43) * $I$9</f>
        <v>#DIV/0!</v>
      </c>
      <c r="O43" s="82"/>
      <c r="P43" s="59">
        <f t="shared" si="1"/>
        <v>0</v>
      </c>
      <c r="Q43" s="60" t="e">
        <f>SUM(E43, N43, P43)</f>
        <v>#DIV/0!</v>
      </c>
      <c r="R43" s="84" t="e">
        <f t="shared" si="3"/>
        <v>#DIV/0!</v>
      </c>
      <c r="S43" s="61" t="e">
        <f t="shared" si="2"/>
        <v>#DIV/0!</v>
      </c>
    </row>
    <row r="44" spans="1:19" ht="15.75" customHeight="1" x14ac:dyDescent="0.3">
      <c r="A44" s="73">
        <v>31</v>
      </c>
      <c r="B44" s="69"/>
      <c r="C44" s="69"/>
      <c r="D44" s="72"/>
      <c r="E44" s="59">
        <f t="shared" si="0"/>
        <v>0</v>
      </c>
      <c r="F44" s="32"/>
      <c r="G44" s="101"/>
      <c r="H44" s="101"/>
      <c r="I44" s="101"/>
      <c r="J44" s="101"/>
      <c r="K44" s="101"/>
      <c r="L44" s="101"/>
      <c r="M44" s="73"/>
      <c r="N44" s="59" t="e">
        <f>AVERAGE(G44,M44) * $I$9</f>
        <v>#DIV/0!</v>
      </c>
      <c r="O44" s="82"/>
      <c r="P44" s="59">
        <f t="shared" si="1"/>
        <v>0</v>
      </c>
      <c r="Q44" s="60" t="e">
        <f>SUM(E44,N44,P44)</f>
        <v>#DIV/0!</v>
      </c>
      <c r="R44" s="84" t="e">
        <f t="shared" si="3"/>
        <v>#DIV/0!</v>
      </c>
      <c r="S44" s="61" t="e">
        <f t="shared" si="2"/>
        <v>#DIV/0!</v>
      </c>
    </row>
    <row r="45" spans="1:19" ht="15.75" customHeight="1" x14ac:dyDescent="0.3">
      <c r="A45" s="73">
        <v>32</v>
      </c>
      <c r="B45" s="69"/>
      <c r="C45" s="69"/>
      <c r="D45" s="71"/>
      <c r="E45" s="59">
        <f t="shared" si="0"/>
        <v>0</v>
      </c>
      <c r="F45" s="32"/>
      <c r="G45" s="101"/>
      <c r="H45" s="101"/>
      <c r="I45" s="101"/>
      <c r="J45" s="101"/>
      <c r="K45" s="101"/>
      <c r="L45" s="101"/>
      <c r="M45" s="73"/>
      <c r="N45" s="59" t="e">
        <f>AVERAGE(G45, M45) * $I$9</f>
        <v>#DIV/0!</v>
      </c>
      <c r="O45" s="82"/>
      <c r="P45" s="59">
        <f t="shared" si="1"/>
        <v>0</v>
      </c>
      <c r="Q45" s="60" t="e">
        <f>SUM(E45, N45, P45)</f>
        <v>#DIV/0!</v>
      </c>
      <c r="R45" s="84" t="e">
        <f t="shared" si="3"/>
        <v>#DIV/0!</v>
      </c>
      <c r="S45" s="61" t="e">
        <f t="shared" si="2"/>
        <v>#DIV/0!</v>
      </c>
    </row>
    <row r="46" spans="1:19" ht="15.75" customHeight="1" x14ac:dyDescent="0.3">
      <c r="A46" s="73">
        <v>33</v>
      </c>
      <c r="B46" s="69"/>
      <c r="C46" s="69"/>
      <c r="D46" s="72"/>
      <c r="E46" s="59">
        <f t="shared" si="0"/>
        <v>0</v>
      </c>
      <c r="F46" s="32"/>
      <c r="G46" s="101"/>
      <c r="H46" s="101"/>
      <c r="I46" s="101"/>
      <c r="J46" s="101"/>
      <c r="K46" s="101"/>
      <c r="L46" s="101"/>
      <c r="M46" s="73"/>
      <c r="N46" s="59" t="e">
        <f>AVERAGE(G46,M46) * $I$9</f>
        <v>#DIV/0!</v>
      </c>
      <c r="O46" s="82"/>
      <c r="P46" s="59">
        <f t="shared" si="1"/>
        <v>0</v>
      </c>
      <c r="Q46" s="60" t="e">
        <f>SUM(E46,N46,P46)</f>
        <v>#DIV/0!</v>
      </c>
      <c r="R46" s="84" t="e">
        <f t="shared" si="3"/>
        <v>#DIV/0!</v>
      </c>
      <c r="S46" s="61" t="e">
        <f t="shared" si="2"/>
        <v>#DIV/0!</v>
      </c>
    </row>
    <row r="47" spans="1:19" ht="15.75" customHeight="1" x14ac:dyDescent="0.3">
      <c r="A47" s="73">
        <v>34</v>
      </c>
      <c r="B47" s="69"/>
      <c r="C47" s="69"/>
      <c r="D47" s="71"/>
      <c r="E47" s="59">
        <f t="shared" si="0"/>
        <v>0</v>
      </c>
      <c r="F47" s="32"/>
      <c r="G47" s="101"/>
      <c r="H47" s="101"/>
      <c r="I47" s="101"/>
      <c r="J47" s="101"/>
      <c r="K47" s="101"/>
      <c r="L47" s="101"/>
      <c r="M47" s="73"/>
      <c r="N47" s="59" t="e">
        <f>AVERAGE(G47, M47) * $I$9</f>
        <v>#DIV/0!</v>
      </c>
      <c r="O47" s="82"/>
      <c r="P47" s="59">
        <f t="shared" si="1"/>
        <v>0</v>
      </c>
      <c r="Q47" s="60" t="e">
        <f>SUM(E47, N47, P47)</f>
        <v>#DIV/0!</v>
      </c>
      <c r="R47" s="84" t="e">
        <f t="shared" si="3"/>
        <v>#DIV/0!</v>
      </c>
      <c r="S47" s="61" t="e">
        <f t="shared" si="2"/>
        <v>#DIV/0!</v>
      </c>
    </row>
    <row r="48" spans="1:19" ht="15.75" customHeight="1" x14ac:dyDescent="0.3">
      <c r="A48" s="73">
        <v>35</v>
      </c>
      <c r="B48" s="69"/>
      <c r="C48" s="69"/>
      <c r="D48" s="72"/>
      <c r="E48" s="59">
        <f t="shared" si="0"/>
        <v>0</v>
      </c>
      <c r="F48" s="32"/>
      <c r="G48" s="101"/>
      <c r="H48" s="101"/>
      <c r="I48" s="101"/>
      <c r="J48" s="101"/>
      <c r="K48" s="101"/>
      <c r="L48" s="101"/>
      <c r="M48" s="73"/>
      <c r="N48" s="59" t="e">
        <f>AVERAGE(G48,M48) * $I$9</f>
        <v>#DIV/0!</v>
      </c>
      <c r="O48" s="82"/>
      <c r="P48" s="59">
        <f t="shared" si="1"/>
        <v>0</v>
      </c>
      <c r="Q48" s="60" t="e">
        <f>SUM(E48,N48,P48)</f>
        <v>#DIV/0!</v>
      </c>
      <c r="R48" s="84" t="e">
        <f t="shared" si="3"/>
        <v>#DIV/0!</v>
      </c>
      <c r="S48" s="61" t="e">
        <f t="shared" si="2"/>
        <v>#DIV/0!</v>
      </c>
    </row>
    <row r="49" spans="1:19" ht="15.75" customHeight="1" x14ac:dyDescent="0.3">
      <c r="A49" s="73">
        <v>36</v>
      </c>
      <c r="B49" s="69"/>
      <c r="C49" s="69"/>
      <c r="D49" s="71"/>
      <c r="E49" s="59">
        <f t="shared" si="0"/>
        <v>0</v>
      </c>
      <c r="F49" s="32"/>
      <c r="G49" s="101"/>
      <c r="H49" s="101"/>
      <c r="I49" s="101"/>
      <c r="J49" s="101"/>
      <c r="K49" s="101"/>
      <c r="L49" s="101"/>
      <c r="M49" s="73"/>
      <c r="N49" s="59" t="e">
        <f>AVERAGE(G49, M49) * $I$9</f>
        <v>#DIV/0!</v>
      </c>
      <c r="O49" s="82"/>
      <c r="P49" s="59">
        <f t="shared" si="1"/>
        <v>0</v>
      </c>
      <c r="Q49" s="60" t="e">
        <f>SUM(E49, N49, P49)</f>
        <v>#DIV/0!</v>
      </c>
      <c r="R49" s="84" t="e">
        <f t="shared" si="3"/>
        <v>#DIV/0!</v>
      </c>
      <c r="S49" s="61" t="e">
        <f t="shared" si="2"/>
        <v>#DIV/0!</v>
      </c>
    </row>
    <row r="50" spans="1:19" ht="15.75" customHeight="1" x14ac:dyDescent="0.3">
      <c r="A50" s="73">
        <v>37</v>
      </c>
      <c r="B50" s="69"/>
      <c r="C50" s="69"/>
      <c r="D50" s="72"/>
      <c r="E50" s="59">
        <f t="shared" si="0"/>
        <v>0</v>
      </c>
      <c r="F50" s="32"/>
      <c r="G50" s="101"/>
      <c r="H50" s="101"/>
      <c r="I50" s="101"/>
      <c r="J50" s="101"/>
      <c r="K50" s="101"/>
      <c r="L50" s="101"/>
      <c r="M50" s="73"/>
      <c r="N50" s="59" t="e">
        <f>AVERAGE(G50,M50) * $I$9</f>
        <v>#DIV/0!</v>
      </c>
      <c r="O50" s="82"/>
      <c r="P50" s="59">
        <f t="shared" si="1"/>
        <v>0</v>
      </c>
      <c r="Q50" s="60" t="e">
        <f>SUM(E50,N50,P50)</f>
        <v>#DIV/0!</v>
      </c>
      <c r="R50" s="84" t="e">
        <f t="shared" si="3"/>
        <v>#DIV/0!</v>
      </c>
      <c r="S50" s="61" t="e">
        <f t="shared" si="2"/>
        <v>#DIV/0!</v>
      </c>
    </row>
    <row r="51" spans="1:19" ht="15.75" customHeight="1" x14ac:dyDescent="0.3">
      <c r="A51" s="73">
        <v>38</v>
      </c>
      <c r="B51" s="69"/>
      <c r="C51" s="69"/>
      <c r="D51" s="71"/>
      <c r="E51" s="59">
        <f t="shared" si="0"/>
        <v>0</v>
      </c>
      <c r="F51" s="32"/>
      <c r="G51" s="101"/>
      <c r="H51" s="101"/>
      <c r="I51" s="101"/>
      <c r="J51" s="101"/>
      <c r="K51" s="101"/>
      <c r="L51" s="101"/>
      <c r="M51" s="73"/>
      <c r="N51" s="59" t="e">
        <f>AVERAGE(G51, M51) * $I$9</f>
        <v>#DIV/0!</v>
      </c>
      <c r="O51" s="82"/>
      <c r="P51" s="59">
        <f t="shared" si="1"/>
        <v>0</v>
      </c>
      <c r="Q51" s="60" t="e">
        <f>SUM(E51, N51, P51)</f>
        <v>#DIV/0!</v>
      </c>
      <c r="R51" s="84" t="e">
        <f t="shared" si="3"/>
        <v>#DIV/0!</v>
      </c>
      <c r="S51" s="61" t="e">
        <f t="shared" si="2"/>
        <v>#DIV/0!</v>
      </c>
    </row>
    <row r="52" spans="1:19" ht="15.75" customHeight="1" x14ac:dyDescent="0.3">
      <c r="A52" s="74">
        <v>39</v>
      </c>
      <c r="B52" s="69"/>
      <c r="C52" s="69"/>
      <c r="D52" s="72"/>
      <c r="E52" s="62">
        <f t="shared" si="0"/>
        <v>0</v>
      </c>
      <c r="F52" s="32"/>
      <c r="G52" s="101"/>
      <c r="H52" s="101"/>
      <c r="I52" s="101"/>
      <c r="J52" s="101"/>
      <c r="K52" s="101"/>
      <c r="L52" s="101"/>
      <c r="M52" s="73"/>
      <c r="N52" s="59" t="e">
        <f>AVERAGE(G52,M52) * $I$9</f>
        <v>#DIV/0!</v>
      </c>
      <c r="O52" s="82"/>
      <c r="P52" s="59">
        <f t="shared" si="1"/>
        <v>0</v>
      </c>
      <c r="Q52" s="60" t="e">
        <f>SUM(E52,N52,P52)</f>
        <v>#DIV/0!</v>
      </c>
      <c r="R52" s="85" t="e">
        <f t="shared" si="3"/>
        <v>#DIV/0!</v>
      </c>
      <c r="S52" s="63" t="e">
        <f t="shared" si="2"/>
        <v>#DIV/0!</v>
      </c>
    </row>
    <row r="53" spans="1:19" ht="15.75" customHeight="1" x14ac:dyDescent="0.3">
      <c r="A53" s="75">
        <v>40</v>
      </c>
      <c r="B53" s="69"/>
      <c r="C53" s="69"/>
      <c r="D53" s="71"/>
      <c r="E53" s="62">
        <f t="shared" si="0"/>
        <v>0</v>
      </c>
      <c r="F53" s="32"/>
      <c r="G53" s="101"/>
      <c r="H53" s="101"/>
      <c r="I53" s="101"/>
      <c r="J53" s="101"/>
      <c r="K53" s="101"/>
      <c r="L53" s="101"/>
      <c r="M53" s="73"/>
      <c r="N53" s="59" t="e">
        <f>AVERAGE(G53, M53) * $I$9</f>
        <v>#DIV/0!</v>
      </c>
      <c r="O53" s="82"/>
      <c r="P53" s="59">
        <f t="shared" si="1"/>
        <v>0</v>
      </c>
      <c r="Q53" s="60" t="e">
        <f>SUM(E53, N53, P53)</f>
        <v>#DIV/0!</v>
      </c>
      <c r="R53" s="85" t="e">
        <f t="shared" si="3"/>
        <v>#DIV/0!</v>
      </c>
      <c r="S53" s="63" t="e">
        <f t="shared" si="2"/>
        <v>#DIV/0!</v>
      </c>
    </row>
    <row r="54" spans="1:19" ht="15.75" customHeight="1" x14ac:dyDescent="0.3">
      <c r="A54" s="76">
        <v>41</v>
      </c>
      <c r="B54" s="69"/>
      <c r="C54" s="69"/>
      <c r="D54" s="71"/>
      <c r="E54" s="59">
        <f t="shared" si="0"/>
        <v>0</v>
      </c>
      <c r="F54" s="32"/>
      <c r="G54" s="101"/>
      <c r="H54" s="101"/>
      <c r="I54" s="101"/>
      <c r="J54" s="101"/>
      <c r="K54" s="101"/>
      <c r="L54" s="101"/>
      <c r="M54" s="73"/>
      <c r="N54" s="59" t="e">
        <f>AVERAGE(G54, M54) * $I$9</f>
        <v>#DIV/0!</v>
      </c>
      <c r="O54" s="83"/>
      <c r="P54" s="59">
        <f t="shared" ref="P54:P56" si="4">O54*$I$10</f>
        <v>0</v>
      </c>
      <c r="Q54" s="60" t="e">
        <f>SUM(E54, N54, P54)</f>
        <v>#DIV/0!</v>
      </c>
      <c r="R54" s="84" t="e">
        <f t="shared" ref="R54:R56" si="5">IF(Q54&gt;80,"A",IF(Q54&gt;75,"A-",IF(Q54&gt;70,"B+",IF(Q54&gt;60,"B",IF(Q54&gt;55,"B-",IF(Q54&gt;50,"C+",IF(Q54&gt;40,"C",IF(Q54&gt;35,"C-",IF(Q54&gt;30,"D","E")))))))))</f>
        <v>#DIV/0!</v>
      </c>
      <c r="S54" s="61" t="e">
        <f t="shared" ref="S54:S56" si="6">IF(R54="A","BAIK SEKALI",IF(R54="A-","BAIK SEKALI",IF(R54="B+","BAIK",IF(R54="B","BAIK",IF(R54="B-","CUKUP BAIK",IF(R54="C+","CUKUP",IF(R54="C","KURANG",IF(R54="C-","KURANG BAIK",IF(R54="D","KURANG SEKALI",IF(R54="E","GAGAL"))))))))))</f>
        <v>#DIV/0!</v>
      </c>
    </row>
    <row r="55" spans="1:19" ht="15.75" customHeight="1" x14ac:dyDescent="0.3">
      <c r="A55" s="76">
        <v>42</v>
      </c>
      <c r="B55" s="69"/>
      <c r="C55" s="69"/>
      <c r="D55" s="71"/>
      <c r="E55" s="62">
        <f t="shared" si="0"/>
        <v>0</v>
      </c>
      <c r="F55" s="32"/>
      <c r="G55" s="101"/>
      <c r="H55" s="101"/>
      <c r="I55" s="101"/>
      <c r="J55" s="101"/>
      <c r="K55" s="101"/>
      <c r="L55" s="101"/>
      <c r="M55" s="73"/>
      <c r="N55" s="59" t="e">
        <f>AVERAGE(G55,M55) * $I$9</f>
        <v>#DIV/0!</v>
      </c>
      <c r="O55" s="83"/>
      <c r="P55" s="59">
        <f t="shared" si="4"/>
        <v>0</v>
      </c>
      <c r="Q55" s="60" t="e">
        <f>SUM(E55,N55,P55)</f>
        <v>#DIV/0!</v>
      </c>
      <c r="R55" s="85" t="e">
        <f t="shared" si="5"/>
        <v>#DIV/0!</v>
      </c>
      <c r="S55" s="63" t="e">
        <f t="shared" si="6"/>
        <v>#DIV/0!</v>
      </c>
    </row>
    <row r="56" spans="1:19" ht="15.75" customHeight="1" x14ac:dyDescent="0.3">
      <c r="A56" s="76">
        <v>43</v>
      </c>
      <c r="B56" s="69"/>
      <c r="C56" s="69"/>
      <c r="D56" s="71"/>
      <c r="E56" s="77">
        <f t="shared" si="0"/>
        <v>0</v>
      </c>
      <c r="F56" s="78"/>
      <c r="G56" s="101"/>
      <c r="H56" s="102"/>
      <c r="I56" s="102"/>
      <c r="J56" s="102"/>
      <c r="K56" s="102"/>
      <c r="L56" s="102"/>
      <c r="M56" s="73"/>
      <c r="N56" s="77" t="e">
        <f>AVERAGE(G56, M56) * $I$9</f>
        <v>#DIV/0!</v>
      </c>
      <c r="O56" s="76"/>
      <c r="P56" s="77">
        <f t="shared" si="4"/>
        <v>0</v>
      </c>
      <c r="Q56" s="79" t="e">
        <f>SUM(E56, N56, P56)</f>
        <v>#DIV/0!</v>
      </c>
      <c r="R56" s="86" t="e">
        <f t="shared" si="5"/>
        <v>#DIV/0!</v>
      </c>
      <c r="S56" s="80" t="e">
        <f t="shared" si="6"/>
        <v>#DIV/0!</v>
      </c>
    </row>
    <row r="57" spans="1:19" ht="15.75" customHeight="1" x14ac:dyDescent="0.3">
      <c r="A57" s="36"/>
      <c r="B57" s="37"/>
      <c r="C57" s="38"/>
      <c r="D57" s="64"/>
      <c r="E57" s="65"/>
      <c r="F57" s="36"/>
      <c r="G57" s="64"/>
      <c r="H57" s="64"/>
      <c r="I57" s="64"/>
      <c r="J57" s="64"/>
      <c r="K57" s="64"/>
      <c r="L57" s="65"/>
      <c r="M57" s="36"/>
      <c r="N57" s="65"/>
      <c r="O57" s="65"/>
      <c r="P57" s="66"/>
      <c r="Q57" s="67"/>
    </row>
    <row r="58" spans="1:19" ht="15.75" customHeight="1" x14ac:dyDescent="0.3"/>
    <row r="59" spans="1:19" ht="15.75" customHeight="1" x14ac:dyDescent="0.3"/>
    <row r="60" spans="1:19" ht="15.75" customHeight="1" x14ac:dyDescent="0.3"/>
    <row r="61" spans="1:19" ht="15.75" customHeight="1" x14ac:dyDescent="0.35">
      <c r="B61" s="1" t="s">
        <v>23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93" t="s">
        <v>122</v>
      </c>
    </row>
    <row r="62" spans="1:19" ht="15.75" customHeight="1" x14ac:dyDescent="0.35">
      <c r="B62" s="1" t="s">
        <v>24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35</v>
      </c>
    </row>
    <row r="63" spans="1:19" ht="15.75" customHeight="1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9" ht="15.75" customHeight="1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ht="15.75" customHeight="1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ht="15.75" customHeight="1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ht="15.75" customHeight="1" x14ac:dyDescent="0.35">
      <c r="B67" s="92" t="s">
        <v>123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92" t="s">
        <v>121</v>
      </c>
    </row>
    <row r="68" spans="2:13" ht="15.75" customHeight="1" x14ac:dyDescent="0.3"/>
    <row r="69" spans="2:13" ht="15.75" customHeight="1" x14ac:dyDescent="0.3"/>
    <row r="70" spans="2:13" ht="15.75" customHeight="1" x14ac:dyDescent="0.3"/>
    <row r="71" spans="2:13" ht="15.75" customHeight="1" x14ac:dyDescent="0.3"/>
    <row r="72" spans="2:13" ht="15.75" customHeight="1" x14ac:dyDescent="0.3"/>
    <row r="73" spans="2:13" ht="15.75" customHeight="1" x14ac:dyDescent="0.3"/>
    <row r="74" spans="2:13" ht="15.75" customHeight="1" x14ac:dyDescent="0.3"/>
    <row r="75" spans="2:13" ht="15.75" customHeight="1" x14ac:dyDescent="0.3"/>
    <row r="76" spans="2:13" ht="15.75" customHeight="1" x14ac:dyDescent="0.3"/>
    <row r="77" spans="2:13" ht="15.75" customHeight="1" x14ac:dyDescent="0.3"/>
    <row r="78" spans="2:13" ht="15.75" customHeight="1" x14ac:dyDescent="0.3"/>
    <row r="79" spans="2:13" ht="15.75" customHeight="1" x14ac:dyDescent="0.3"/>
    <row r="80" spans="2:1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1:O1"/>
    <mergeCell ref="A2:O2"/>
    <mergeCell ref="A3:O3"/>
    <mergeCell ref="K6:L6"/>
    <mergeCell ref="F7:I7"/>
    <mergeCell ref="S12:S13"/>
    <mergeCell ref="R12:R13"/>
    <mergeCell ref="J8:N10"/>
    <mergeCell ref="A12:A13"/>
    <mergeCell ref="P12:P13"/>
    <mergeCell ref="Q12:Q13"/>
    <mergeCell ref="B12:B13"/>
    <mergeCell ref="C12:C13"/>
    <mergeCell ref="D12:D13"/>
    <mergeCell ref="E12:E13"/>
    <mergeCell ref="F12:F13"/>
    <mergeCell ref="G12:M12"/>
    <mergeCell ref="N12:N13"/>
    <mergeCell ref="O12:O13"/>
  </mergeCells>
  <phoneticPr fontId="32" type="noConversion"/>
  <pageMargins left="0.7" right="0.7" top="0.75" bottom="0.75" header="0" footer="0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Monitoring</vt:lpstr>
      <vt:lpstr>Absensi Kelas</vt:lpstr>
      <vt:lpstr>Nilai Praktikum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Riski 01</cp:lastModifiedBy>
  <dcterms:created xsi:type="dcterms:W3CDTF">2021-03-30T01:25:30Z</dcterms:created>
  <dcterms:modified xsi:type="dcterms:W3CDTF">2025-06-28T12:42:03Z</dcterms:modified>
</cp:coreProperties>
</file>